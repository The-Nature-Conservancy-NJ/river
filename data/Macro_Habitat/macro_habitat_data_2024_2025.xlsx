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loe.pearson\Desktop\river_main_2023\river_main_2024\river-main\data\Macro_Habitat\"/>
    </mc:Choice>
  </mc:AlternateContent>
  <xr:revisionPtr revIDLastSave="0" documentId="13_ncr:1_{509AEDA5-A161-401B-8B2F-B0E10A11BE9A}" xr6:coauthVersionLast="47" xr6:coauthVersionMax="47" xr10:uidLastSave="{00000000-0000-0000-0000-000000000000}"/>
  <bookViews>
    <workbookView xWindow="2460" yWindow="2420" windowWidth="14400" windowHeight="7270" activeTab="1" xr2:uid="{03FF46CF-3C80-4FEA-B233-B5189B9EEF94}"/>
  </bookViews>
  <sheets>
    <sheet name="Habitat_2024" sheetId="2" r:id="rId1"/>
    <sheet name="Habitat_2025" sheetId="4" r:id="rId2"/>
    <sheet name="macro_2024" sheetId="7" r:id="rId3"/>
    <sheet name="macro_2025" sheetId="5" r:id="rId4"/>
    <sheet name="Location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4" l="1"/>
  <c r="R10" i="4"/>
  <c r="R9" i="4"/>
  <c r="R8" i="4"/>
  <c r="R7" i="4"/>
</calcChain>
</file>

<file path=xl/sharedStrings.xml><?xml version="1.0" encoding="utf-8"?>
<sst xmlns="http://schemas.openxmlformats.org/spreadsheetml/2006/main" count="446" uniqueCount="125">
  <si>
    <t>primary_key</t>
  </si>
  <si>
    <t>siteid</t>
  </si>
  <si>
    <t>tnc_code</t>
  </si>
  <si>
    <t>date_collected</t>
  </si>
  <si>
    <t>1. Epifaunal Substrate/Available Cover</t>
  </si>
  <si>
    <t>2. Embeddedness</t>
  </si>
  <si>
    <t>3. Velocity/Depth Regimes</t>
  </si>
  <si>
    <t>4. Sediment Deposition</t>
  </si>
  <si>
    <t>5. Channel Flow Status</t>
  </si>
  <si>
    <t>6. Channel Alteration</t>
  </si>
  <si>
    <t>7. Frequency of Riffles (or bends)</t>
  </si>
  <si>
    <t>8. Bank Stability-LB</t>
  </si>
  <si>
    <t>8. Bank Stability-RB</t>
  </si>
  <si>
    <t>9. Bank vegetation Protection-LB</t>
  </si>
  <si>
    <t>9. Bank vegetation Protection-RB</t>
  </si>
  <si>
    <t>10. Ripariarn Vegetation Zone Width-LB</t>
  </si>
  <si>
    <t>10. Ripariarn Vegetation Zone Width-RB</t>
  </si>
  <si>
    <t>TOTAL</t>
  </si>
  <si>
    <t>habitat_score</t>
  </si>
  <si>
    <t>habitat_rating</t>
  </si>
  <si>
    <t>stream_gradient</t>
  </si>
  <si>
    <t>TNC_3_PKRB3</t>
  </si>
  <si>
    <t>PKRB-3</t>
  </si>
  <si>
    <t>TNC_3</t>
  </si>
  <si>
    <t>OPTIMAL</t>
  </si>
  <si>
    <t>high</t>
  </si>
  <si>
    <t>TNC_6_PKRB6</t>
  </si>
  <si>
    <t>PKRB-6</t>
  </si>
  <si>
    <t>TNC_6</t>
  </si>
  <si>
    <t>TNC_9_PKRB9</t>
  </si>
  <si>
    <t>PKRB-9</t>
  </si>
  <si>
    <t>TNC_9</t>
  </si>
  <si>
    <t>TNC_14_PKRB14</t>
  </si>
  <si>
    <t>PKRB-14</t>
  </si>
  <si>
    <t>TNC_14</t>
  </si>
  <si>
    <t>TNC_87_COLINRB1</t>
  </si>
  <si>
    <t>COLINRB-1</t>
  </si>
  <si>
    <t>TNC_87</t>
  </si>
  <si>
    <t>TNC_18_PLDRB1</t>
  </si>
  <si>
    <t>PLDRB-1</t>
  </si>
  <si>
    <t>TNC_18</t>
  </si>
  <si>
    <t>TNC_19_PLDRB2</t>
  </si>
  <si>
    <t>PLDRB-2</t>
  </si>
  <si>
    <t>TNC_19</t>
  </si>
  <si>
    <t>SUB-OPTIMAL</t>
  </si>
  <si>
    <t>TNC_23_CLDRB1</t>
  </si>
  <si>
    <t>CLDRB-1</t>
  </si>
  <si>
    <t>TNC_23</t>
  </si>
  <si>
    <t>TNC_25_CLDRB2</t>
  </si>
  <si>
    <t>CLDRB-2</t>
  </si>
  <si>
    <t>TNC_25</t>
  </si>
  <si>
    <t>TNC_80_CLDRB3</t>
  </si>
  <si>
    <t>CLDRB-3</t>
  </si>
  <si>
    <t>TNC_80</t>
  </si>
  <si>
    <t>RAW METRIC VALUES</t>
  </si>
  <si>
    <t>METRICS ADJUSTED FOR CATCHMENT SIZE</t>
  </si>
  <si>
    <t>INDEX METRICS</t>
  </si>
  <si>
    <t>date</t>
  </si>
  <si>
    <t>time</t>
  </si>
  <si>
    <t>Air Temp °C</t>
  </si>
  <si>
    <t xml:space="preserve">Water Temp °C      </t>
  </si>
  <si>
    <t>Conductivity ms/cm</t>
  </si>
  <si>
    <t>Dissolved Oxygen %</t>
  </si>
  <si>
    <t>Dissolved Oxygen mg/L</t>
  </si>
  <si>
    <t>Turbidity NTU</t>
  </si>
  <si>
    <t>pH</t>
  </si>
  <si>
    <t>SAMPLE ID</t>
  </si>
  <si>
    <t>CLIENT SAMPLE ID</t>
  </si>
  <si>
    <t>SUBSAMPLE COUNT</t>
  </si>
  <si>
    <t>Area (km sq)</t>
  </si>
  <si>
    <t>1. Total # of genera</t>
  </si>
  <si>
    <t>2. % non-insect genera</t>
  </si>
  <si>
    <t>3. % sensitive EPT (excluding Hydropyschidae, including Diplectrona)</t>
  </si>
  <si>
    <t>4. # of scraper genera</t>
  </si>
  <si>
    <t>5. Hilsenhoff Biotic Index</t>
  </si>
  <si>
    <t>6. # NJ TALU attribute 2 genera</t>
  </si>
  <si>
    <t>7. # NJ TALU attribute 3 genera</t>
  </si>
  <si>
    <t>Overall Index Score</t>
  </si>
  <si>
    <t>Assessment Rating</t>
  </si>
  <si>
    <t>24-119-01</t>
  </si>
  <si>
    <t>FAIR</t>
  </si>
  <si>
    <t>24-119-02</t>
  </si>
  <si>
    <t>EXCELLENT</t>
  </si>
  <si>
    <t>24-119-03</t>
  </si>
  <si>
    <t>GOOD</t>
  </si>
  <si>
    <t>24-119-04</t>
  </si>
  <si>
    <t>24-119-05</t>
  </si>
  <si>
    <t>24-119-06</t>
  </si>
  <si>
    <t>24-119-07</t>
  </si>
  <si>
    <t>24-119-08</t>
  </si>
  <si>
    <t>24-119-09</t>
  </si>
  <si>
    <t>24-119-10</t>
  </si>
  <si>
    <t>type</t>
  </si>
  <si>
    <t>lat_dd</t>
  </si>
  <si>
    <t>lon_dd</t>
  </si>
  <si>
    <t>Year Sampled</t>
  </si>
  <si>
    <t>macro_habitat</t>
  </si>
  <si>
    <t xml:space="preserve"> </t>
  </si>
  <si>
    <t>PKRB-5</t>
  </si>
  <si>
    <t>TNC_5</t>
  </si>
  <si>
    <t>TNC_5_PKRB5</t>
  </si>
  <si>
    <t>PKRB-1</t>
  </si>
  <si>
    <t>TNC_1</t>
  </si>
  <si>
    <t>TNC_1_PKRB1</t>
  </si>
  <si>
    <t>PKRB-2</t>
  </si>
  <si>
    <t>TNC_2</t>
  </si>
  <si>
    <t>TNC_2_PKRB2</t>
  </si>
  <si>
    <t>MARGINAL</t>
  </si>
  <si>
    <t>TNC_8_PKRB8</t>
  </si>
  <si>
    <t>PKRB-8</t>
  </si>
  <si>
    <t>TNC_8</t>
  </si>
  <si>
    <t>25-115-03</t>
  </si>
  <si>
    <t>25-115-05</t>
  </si>
  <si>
    <t>25-115-06</t>
  </si>
  <si>
    <t>25-115-01</t>
  </si>
  <si>
    <t>25-115-02</t>
  </si>
  <si>
    <t>25-115-04</t>
  </si>
  <si>
    <t>25-115-08</t>
  </si>
  <si>
    <t>25-115-09</t>
  </si>
  <si>
    <t>25-115-10</t>
  </si>
  <si>
    <t>25-115-12</t>
  </si>
  <si>
    <t>25-115-11</t>
  </si>
  <si>
    <t>CLDRB-2-DUP</t>
  </si>
  <si>
    <t>25-115-07</t>
  </si>
  <si>
    <t>PLDRB-2-DUP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</si>
</sst>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0"/>
    <numFmt numFmtId="166" formatCode="0.00000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4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2" fillId="0" borderId="1" xfId="0" applyFont="1" applyBorder="1"/>
    <xf numFmtId="0" fontId="3" fillId="0" borderId="1" xfId="0" applyFont="1" applyBorder="1"/>
    <xf numFmtId="14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0" fillId="0" borderId="1" xfId="0" applyNumberFormat="1" applyBorder="1"/>
    <xf numFmtId="0" fontId="1" fillId="5" borderId="1" xfId="0" applyFont="1" applyFill="1" applyBorder="1"/>
    <xf numFmtId="0" fontId="1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textRotation="90"/>
    </xf>
    <xf numFmtId="0" fontId="0" fillId="0" borderId="1" xfId="0" applyBorder="1" applyAlignment="1">
      <alignment textRotation="90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textRotation="90"/>
    </xf>
    <xf numFmtId="0" fontId="4" fillId="0" borderId="1" xfId="0" applyFont="1" applyBorder="1"/>
    <xf numFmtId="0" fontId="1" fillId="5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6" fontId="3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165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left"/>
    </xf>
    <xf numFmtId="14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20" fontId="3" fillId="0" borderId="1" xfId="0" applyNumberFormat="1" applyFont="1" applyBorder="1" applyAlignment="1">
      <alignment horizontal="left"/>
    </xf>
    <xf numFmtId="164" fontId="0" fillId="0" borderId="0" xfId="0" applyNumberFormat="1" applyAlignment="1">
      <alignment horizontal="center"/>
    </xf>
    <xf numFmtId="0" fontId="2" fillId="0" borderId="0" xfId="0" applyFont="1"/>
    <xf numFmtId="14" fontId="3" fillId="0" borderId="1" xfId="0" applyNumberFormat="1" applyFont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20" fontId="0" fillId="0" borderId="1" xfId="0" applyNumberFormat="1" applyBorder="1" applyAlignment="1">
      <alignment horizontal="left"/>
    </xf>
    <xf numFmtId="0" fontId="2" fillId="7" borderId="1" xfId="0" applyFont="1" applyFill="1" applyBorder="1"/>
    <xf numFmtId="0" fontId="3" fillId="7" borderId="1" xfId="0" applyFont="1" applyFill="1" applyBorder="1"/>
    <xf numFmtId="0" fontId="0" fillId="7" borderId="1" xfId="0" applyFill="1" applyBorder="1"/>
    <xf numFmtId="0" fontId="0" fillId="7" borderId="0" xfId="0" applyFill="1"/>
    <xf numFmtId="0" fontId="0" fillId="7" borderId="0" xfId="0" applyFill="1" applyAlignment="1">
      <alignment horizontal="center"/>
    </xf>
    <xf numFmtId="1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Normal" xfId="0" builtinId="0"/>
    <cellStyle name="Normal 2" xfId="1" xr:uid="{78BA748C-C9C0-4E1B-9586-385DEF0324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EF40-AB77-4448-92CD-697CEAEF7914}">
  <dimension ref="A1:U11"/>
  <sheetViews>
    <sheetView workbookViewId="0">
      <selection activeCell="R2" sqref="R2"/>
    </sheetView>
  </sheetViews>
  <sheetFormatPr defaultRowHeight="14.5" x14ac:dyDescent="0.35"/>
  <cols>
    <col min="1" max="1" width="18.1796875" customWidth="1"/>
    <col min="2" max="2" width="11.26953125" customWidth="1"/>
    <col min="4" max="4" width="10.453125" bestFit="1" customWidth="1"/>
    <col min="20" max="20" width="12.453125" bestFit="1" customWidth="1"/>
  </cols>
  <sheetData>
    <row r="1" spans="1:21" ht="58.5" x14ac:dyDescent="0.35">
      <c r="A1" s="8" t="s">
        <v>0</v>
      </c>
      <c r="B1" s="8" t="s">
        <v>1</v>
      </c>
      <c r="C1" s="8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17" t="s">
        <v>18</v>
      </c>
      <c r="T1" s="17" t="s">
        <v>19</v>
      </c>
      <c r="U1" s="17" t="s">
        <v>20</v>
      </c>
    </row>
    <row r="2" spans="1:21" x14ac:dyDescent="0.35">
      <c r="A2" s="3" t="s">
        <v>21</v>
      </c>
      <c r="B2" s="4" t="s">
        <v>22</v>
      </c>
      <c r="C2" s="3" t="s">
        <v>23</v>
      </c>
      <c r="D2" s="5">
        <v>45436</v>
      </c>
      <c r="E2" s="2">
        <v>19</v>
      </c>
      <c r="F2" s="2">
        <v>19</v>
      </c>
      <c r="G2" s="2">
        <v>14</v>
      </c>
      <c r="H2" s="2">
        <v>18</v>
      </c>
      <c r="I2" s="2">
        <v>20</v>
      </c>
      <c r="J2" s="2">
        <v>19</v>
      </c>
      <c r="K2" s="2">
        <v>19</v>
      </c>
      <c r="L2" s="2">
        <v>9</v>
      </c>
      <c r="M2" s="2">
        <v>9</v>
      </c>
      <c r="N2" s="2">
        <v>8</v>
      </c>
      <c r="O2" s="2">
        <v>9</v>
      </c>
      <c r="P2" s="2">
        <v>6</v>
      </c>
      <c r="Q2" s="2">
        <v>8</v>
      </c>
      <c r="R2" s="2">
        <v>177</v>
      </c>
      <c r="S2" s="2">
        <v>177</v>
      </c>
      <c r="T2" s="2" t="s">
        <v>24</v>
      </c>
      <c r="U2" s="2" t="s">
        <v>25</v>
      </c>
    </row>
    <row r="3" spans="1:21" x14ac:dyDescent="0.35">
      <c r="A3" s="3" t="s">
        <v>26</v>
      </c>
      <c r="B3" s="4" t="s">
        <v>27</v>
      </c>
      <c r="C3" s="3" t="s">
        <v>28</v>
      </c>
      <c r="D3" s="5">
        <v>45434</v>
      </c>
      <c r="E3" s="2">
        <v>18</v>
      </c>
      <c r="F3" s="2">
        <v>19</v>
      </c>
      <c r="G3" s="2">
        <v>20</v>
      </c>
      <c r="H3" s="2">
        <v>19</v>
      </c>
      <c r="I3" s="2">
        <v>17</v>
      </c>
      <c r="J3" s="2">
        <v>18</v>
      </c>
      <c r="K3" s="2">
        <v>19</v>
      </c>
      <c r="L3" s="2">
        <v>9</v>
      </c>
      <c r="M3" s="2">
        <v>6</v>
      </c>
      <c r="N3" s="2">
        <v>9</v>
      </c>
      <c r="O3" s="2">
        <v>8</v>
      </c>
      <c r="P3" s="2">
        <v>5</v>
      </c>
      <c r="Q3" s="2">
        <v>9</v>
      </c>
      <c r="R3" s="2">
        <v>176</v>
      </c>
      <c r="S3" s="2">
        <v>176</v>
      </c>
      <c r="T3" s="2" t="s">
        <v>24</v>
      </c>
      <c r="U3" s="2" t="s">
        <v>25</v>
      </c>
    </row>
    <row r="4" spans="1:21" x14ac:dyDescent="0.35">
      <c r="A4" s="3" t="s">
        <v>29</v>
      </c>
      <c r="B4" s="4" t="s">
        <v>30</v>
      </c>
      <c r="C4" s="3" t="s">
        <v>31</v>
      </c>
      <c r="D4" s="5">
        <v>45436</v>
      </c>
      <c r="E4" s="2">
        <v>19</v>
      </c>
      <c r="F4" s="2">
        <v>17</v>
      </c>
      <c r="G4" s="2">
        <v>20</v>
      </c>
      <c r="H4" s="2">
        <v>17</v>
      </c>
      <c r="I4" s="2">
        <v>20</v>
      </c>
      <c r="J4" s="2">
        <v>15</v>
      </c>
      <c r="K4" s="2">
        <v>19</v>
      </c>
      <c r="L4" s="2">
        <v>9</v>
      </c>
      <c r="M4" s="2">
        <v>9</v>
      </c>
      <c r="N4" s="2">
        <v>6</v>
      </c>
      <c r="O4" s="2">
        <v>9</v>
      </c>
      <c r="P4" s="2">
        <v>5</v>
      </c>
      <c r="Q4" s="2">
        <v>6</v>
      </c>
      <c r="R4" s="2">
        <v>171</v>
      </c>
      <c r="S4" s="2">
        <v>171</v>
      </c>
      <c r="T4" s="2" t="s">
        <v>24</v>
      </c>
      <c r="U4" s="2" t="s">
        <v>25</v>
      </c>
    </row>
    <row r="5" spans="1:21" x14ac:dyDescent="0.35">
      <c r="A5" s="3" t="s">
        <v>32</v>
      </c>
      <c r="B5" s="4" t="s">
        <v>33</v>
      </c>
      <c r="C5" s="3" t="s">
        <v>34</v>
      </c>
      <c r="D5" s="5">
        <v>45406</v>
      </c>
      <c r="E5" s="2">
        <v>16</v>
      </c>
      <c r="F5" s="2">
        <v>19</v>
      </c>
      <c r="G5" s="2">
        <v>15</v>
      </c>
      <c r="H5" s="2">
        <v>19</v>
      </c>
      <c r="I5" s="2">
        <v>19</v>
      </c>
      <c r="J5" s="2">
        <v>19</v>
      </c>
      <c r="K5" s="2">
        <v>19</v>
      </c>
      <c r="L5" s="2">
        <v>9</v>
      </c>
      <c r="M5" s="2">
        <v>10</v>
      </c>
      <c r="N5" s="2">
        <v>7</v>
      </c>
      <c r="O5" s="2">
        <v>7</v>
      </c>
      <c r="P5" s="2">
        <v>6</v>
      </c>
      <c r="Q5" s="2">
        <v>8</v>
      </c>
      <c r="R5" s="2">
        <v>173</v>
      </c>
      <c r="S5" s="2">
        <v>173</v>
      </c>
      <c r="T5" s="2" t="s">
        <v>24</v>
      </c>
      <c r="U5" s="2" t="s">
        <v>25</v>
      </c>
    </row>
    <row r="6" spans="1:21" x14ac:dyDescent="0.35">
      <c r="A6" s="2" t="s">
        <v>35</v>
      </c>
      <c r="B6" s="4" t="s">
        <v>36</v>
      </c>
      <c r="C6" s="2" t="s">
        <v>37</v>
      </c>
      <c r="D6" s="7">
        <v>45440</v>
      </c>
      <c r="E6" s="2">
        <v>18</v>
      </c>
      <c r="F6" s="2">
        <v>16</v>
      </c>
      <c r="G6" s="2">
        <v>15</v>
      </c>
      <c r="H6" s="2">
        <v>17</v>
      </c>
      <c r="I6" s="2">
        <v>19</v>
      </c>
      <c r="J6" s="2">
        <v>18</v>
      </c>
      <c r="K6" s="2">
        <v>17</v>
      </c>
      <c r="L6" s="2">
        <v>5</v>
      </c>
      <c r="M6" s="2">
        <v>7</v>
      </c>
      <c r="N6" s="2">
        <v>7</v>
      </c>
      <c r="O6" s="2">
        <v>8</v>
      </c>
      <c r="P6" s="2">
        <v>8</v>
      </c>
      <c r="Q6" s="2">
        <v>7</v>
      </c>
      <c r="R6" s="2">
        <v>162</v>
      </c>
      <c r="S6" s="2">
        <v>162</v>
      </c>
      <c r="T6" s="2" t="s">
        <v>24</v>
      </c>
      <c r="U6" s="2" t="s">
        <v>25</v>
      </c>
    </row>
    <row r="7" spans="1:21" x14ac:dyDescent="0.35">
      <c r="A7" s="2" t="s">
        <v>38</v>
      </c>
      <c r="B7" s="4" t="s">
        <v>39</v>
      </c>
      <c r="C7" s="2" t="s">
        <v>40</v>
      </c>
      <c r="D7" s="7">
        <v>45414</v>
      </c>
      <c r="E7" s="2">
        <v>17</v>
      </c>
      <c r="F7" s="2">
        <v>19</v>
      </c>
      <c r="G7" s="2">
        <v>18</v>
      </c>
      <c r="H7" s="2">
        <v>17</v>
      </c>
      <c r="I7" s="2">
        <v>19</v>
      </c>
      <c r="J7" s="2">
        <v>19</v>
      </c>
      <c r="K7" s="2">
        <v>16</v>
      </c>
      <c r="L7" s="2">
        <v>8</v>
      </c>
      <c r="M7" s="2">
        <v>9</v>
      </c>
      <c r="N7" s="2">
        <v>9</v>
      </c>
      <c r="O7" s="2">
        <v>9</v>
      </c>
      <c r="P7" s="2">
        <v>8</v>
      </c>
      <c r="Q7" s="2">
        <v>10</v>
      </c>
      <c r="R7" s="2">
        <v>178</v>
      </c>
      <c r="S7" s="2">
        <v>178</v>
      </c>
      <c r="T7" s="2" t="s">
        <v>24</v>
      </c>
      <c r="U7" s="2" t="s">
        <v>25</v>
      </c>
    </row>
    <row r="8" spans="1:21" x14ac:dyDescent="0.35">
      <c r="A8" s="3" t="s">
        <v>41</v>
      </c>
      <c r="B8" s="4" t="s">
        <v>42</v>
      </c>
      <c r="C8" s="3" t="s">
        <v>43</v>
      </c>
      <c r="D8" s="5">
        <v>45414</v>
      </c>
      <c r="E8" s="2">
        <v>19</v>
      </c>
      <c r="F8" s="2">
        <v>17</v>
      </c>
      <c r="G8" s="2">
        <v>10</v>
      </c>
      <c r="H8" s="2">
        <v>13</v>
      </c>
      <c r="I8" s="2">
        <v>19</v>
      </c>
      <c r="J8" s="2">
        <v>18</v>
      </c>
      <c r="K8" s="2">
        <v>13</v>
      </c>
      <c r="L8" s="2">
        <v>6</v>
      </c>
      <c r="M8" s="2">
        <v>6</v>
      </c>
      <c r="N8" s="2">
        <v>10</v>
      </c>
      <c r="O8" s="2">
        <v>9</v>
      </c>
      <c r="P8" s="2">
        <v>8</v>
      </c>
      <c r="Q8" s="2">
        <v>8</v>
      </c>
      <c r="R8" s="2">
        <v>156</v>
      </c>
      <c r="S8" s="2">
        <v>156</v>
      </c>
      <c r="T8" s="2" t="s">
        <v>44</v>
      </c>
      <c r="U8" s="2" t="s">
        <v>25</v>
      </c>
    </row>
    <row r="9" spans="1:21" x14ac:dyDescent="0.35">
      <c r="A9" s="2" t="s">
        <v>45</v>
      </c>
      <c r="B9" s="4" t="s">
        <v>46</v>
      </c>
      <c r="C9" s="3" t="s">
        <v>47</v>
      </c>
      <c r="D9" s="7">
        <v>45413</v>
      </c>
      <c r="E9" s="2">
        <v>17</v>
      </c>
      <c r="F9" s="2">
        <v>19</v>
      </c>
      <c r="G9" s="2">
        <v>18</v>
      </c>
      <c r="H9" s="2">
        <v>19</v>
      </c>
      <c r="I9" s="2">
        <v>19</v>
      </c>
      <c r="J9" s="2">
        <v>15</v>
      </c>
      <c r="K9" s="2">
        <v>18</v>
      </c>
      <c r="L9" s="2">
        <v>7</v>
      </c>
      <c r="M9" s="2">
        <v>6</v>
      </c>
      <c r="N9" s="2">
        <v>8</v>
      </c>
      <c r="O9" s="2">
        <v>8</v>
      </c>
      <c r="P9" s="2">
        <v>8</v>
      </c>
      <c r="Q9" s="2">
        <v>6</v>
      </c>
      <c r="R9" s="2">
        <v>160</v>
      </c>
      <c r="S9" s="2">
        <v>160</v>
      </c>
      <c r="T9" s="2" t="s">
        <v>24</v>
      </c>
      <c r="U9" s="2" t="s">
        <v>25</v>
      </c>
    </row>
    <row r="10" spans="1:21" x14ac:dyDescent="0.35">
      <c r="A10" s="2" t="s">
        <v>48</v>
      </c>
      <c r="B10" s="4" t="s">
        <v>49</v>
      </c>
      <c r="C10" s="16" t="s">
        <v>50</v>
      </c>
      <c r="D10" s="7">
        <v>45413</v>
      </c>
      <c r="E10" s="2">
        <v>12</v>
      </c>
      <c r="F10" s="2">
        <v>10</v>
      </c>
      <c r="G10" s="2">
        <v>11</v>
      </c>
      <c r="H10" s="2">
        <v>9</v>
      </c>
      <c r="I10" s="2">
        <v>13</v>
      </c>
      <c r="J10" s="2">
        <v>19</v>
      </c>
      <c r="K10" s="2">
        <v>5</v>
      </c>
      <c r="L10" s="2">
        <v>9</v>
      </c>
      <c r="M10" s="2">
        <v>9</v>
      </c>
      <c r="N10" s="2">
        <v>9</v>
      </c>
      <c r="O10" s="2">
        <v>10</v>
      </c>
      <c r="P10" s="2">
        <v>9</v>
      </c>
      <c r="Q10" s="2">
        <v>10</v>
      </c>
      <c r="R10" s="2">
        <v>134</v>
      </c>
      <c r="S10" s="2">
        <v>134</v>
      </c>
      <c r="T10" s="2" t="s">
        <v>44</v>
      </c>
      <c r="U10" s="2" t="s">
        <v>25</v>
      </c>
    </row>
    <row r="11" spans="1:21" x14ac:dyDescent="0.35">
      <c r="A11" s="3" t="s">
        <v>51</v>
      </c>
      <c r="B11" s="4" t="s">
        <v>52</v>
      </c>
      <c r="C11" s="3" t="s">
        <v>53</v>
      </c>
      <c r="D11" s="5">
        <v>45413</v>
      </c>
      <c r="E11" s="2">
        <v>12</v>
      </c>
      <c r="F11" s="2">
        <v>16</v>
      </c>
      <c r="G11" s="2">
        <v>18</v>
      </c>
      <c r="H11" s="2">
        <v>19</v>
      </c>
      <c r="I11" s="2">
        <v>19</v>
      </c>
      <c r="J11" s="2">
        <v>4</v>
      </c>
      <c r="K11" s="2">
        <v>18</v>
      </c>
      <c r="L11" s="2">
        <v>10</v>
      </c>
      <c r="M11" s="2">
        <v>10</v>
      </c>
      <c r="N11" s="2">
        <v>2</v>
      </c>
      <c r="O11" s="2">
        <v>2</v>
      </c>
      <c r="P11" s="2">
        <v>2</v>
      </c>
      <c r="Q11" s="2">
        <v>2</v>
      </c>
      <c r="R11" s="2">
        <v>135</v>
      </c>
      <c r="S11" s="2">
        <v>135</v>
      </c>
      <c r="T11" s="2" t="s">
        <v>44</v>
      </c>
      <c r="U11" s="2" t="s">
        <v>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8204C-5FE7-4E88-9582-A8047E345CD0}">
  <dimension ref="A1:U12"/>
  <sheetViews>
    <sheetView tabSelected="1" zoomScale="102" workbookViewId="0">
      <selection activeCell="A4" sqref="A4"/>
    </sheetView>
  </sheetViews>
  <sheetFormatPr defaultRowHeight="14.5" x14ac:dyDescent="0.35"/>
  <cols>
    <col min="1" max="1" width="17.453125" customWidth="1"/>
    <col min="2" max="2" width="13" customWidth="1"/>
    <col min="4" max="4" width="11.1796875" customWidth="1"/>
    <col min="20" max="20" width="12.453125" bestFit="1" customWidth="1"/>
  </cols>
  <sheetData>
    <row r="1" spans="1:21" ht="58.5" x14ac:dyDescent="0.35">
      <c r="A1" s="8" t="s">
        <v>0</v>
      </c>
      <c r="B1" s="8" t="s">
        <v>1</v>
      </c>
      <c r="C1" s="8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17" t="s">
        <v>18</v>
      </c>
      <c r="T1" s="17" t="s">
        <v>19</v>
      </c>
      <c r="U1" s="17" t="s">
        <v>20</v>
      </c>
    </row>
    <row r="2" spans="1:21" x14ac:dyDescent="0.35">
      <c r="A2" s="3" t="s">
        <v>100</v>
      </c>
      <c r="B2" s="4" t="s">
        <v>98</v>
      </c>
      <c r="C2" s="3" t="s">
        <v>99</v>
      </c>
      <c r="D2" s="5">
        <v>45798</v>
      </c>
      <c r="E2" s="2">
        <v>15</v>
      </c>
      <c r="F2" s="2">
        <v>12</v>
      </c>
      <c r="G2" s="2">
        <v>18</v>
      </c>
      <c r="H2" s="2">
        <v>16</v>
      </c>
      <c r="I2" s="2">
        <v>20</v>
      </c>
      <c r="J2" s="2">
        <v>19</v>
      </c>
      <c r="K2" s="2">
        <v>12</v>
      </c>
      <c r="L2" s="2">
        <v>6</v>
      </c>
      <c r="M2" s="2">
        <v>8</v>
      </c>
      <c r="N2" s="2">
        <v>9</v>
      </c>
      <c r="O2" s="2">
        <v>9</v>
      </c>
      <c r="P2" s="2">
        <v>9</v>
      </c>
      <c r="Q2" s="2">
        <v>9</v>
      </c>
      <c r="R2" s="2">
        <v>162</v>
      </c>
      <c r="S2" s="2">
        <v>162</v>
      </c>
      <c r="T2" s="2" t="s">
        <v>24</v>
      </c>
      <c r="U2" s="2" t="s">
        <v>25</v>
      </c>
    </row>
    <row r="3" spans="1:21" x14ac:dyDescent="0.35">
      <c r="A3" s="3" t="s">
        <v>38</v>
      </c>
      <c r="B3" s="4" t="s">
        <v>39</v>
      </c>
      <c r="C3" s="3" t="s">
        <v>40</v>
      </c>
      <c r="D3" s="5">
        <v>45797</v>
      </c>
      <c r="E3" s="2">
        <v>19</v>
      </c>
      <c r="F3" s="2">
        <v>17</v>
      </c>
      <c r="G3" s="2">
        <v>20</v>
      </c>
      <c r="H3" s="2">
        <v>15</v>
      </c>
      <c r="I3" s="2">
        <v>20</v>
      </c>
      <c r="J3" s="2">
        <v>19</v>
      </c>
      <c r="K3" s="2">
        <v>18</v>
      </c>
      <c r="L3" s="2">
        <v>10</v>
      </c>
      <c r="M3" s="2">
        <v>9</v>
      </c>
      <c r="N3" s="2">
        <v>9</v>
      </c>
      <c r="O3" s="2">
        <v>10</v>
      </c>
      <c r="P3" s="2">
        <v>8</v>
      </c>
      <c r="Q3" s="2">
        <v>10</v>
      </c>
      <c r="R3" s="2">
        <v>184</v>
      </c>
      <c r="S3" s="2">
        <v>184</v>
      </c>
      <c r="T3" s="2" t="s">
        <v>24</v>
      </c>
      <c r="U3" s="2" t="s">
        <v>25</v>
      </c>
    </row>
    <row r="4" spans="1:21" x14ac:dyDescent="0.35">
      <c r="A4" s="3" t="s">
        <v>103</v>
      </c>
      <c r="B4" s="4" t="s">
        <v>101</v>
      </c>
      <c r="C4" s="3" t="s">
        <v>102</v>
      </c>
      <c r="D4" s="5">
        <v>45796</v>
      </c>
      <c r="E4" s="2">
        <v>10</v>
      </c>
      <c r="F4" s="2">
        <v>1</v>
      </c>
      <c r="G4" s="2">
        <v>13</v>
      </c>
      <c r="H4" s="2">
        <v>15</v>
      </c>
      <c r="I4" s="2">
        <v>19</v>
      </c>
      <c r="J4" s="2">
        <v>13</v>
      </c>
      <c r="K4" s="2">
        <v>4</v>
      </c>
      <c r="L4" s="2">
        <v>5</v>
      </c>
      <c r="M4" s="2">
        <v>4</v>
      </c>
      <c r="N4" s="2">
        <v>7</v>
      </c>
      <c r="O4" s="2">
        <v>8</v>
      </c>
      <c r="P4" s="2">
        <v>6</v>
      </c>
      <c r="Q4" s="2">
        <v>8</v>
      </c>
      <c r="R4" s="2">
        <v>113</v>
      </c>
      <c r="S4" s="2">
        <v>113</v>
      </c>
      <c r="T4" s="2" t="s">
        <v>44</v>
      </c>
      <c r="U4" s="2" t="s">
        <v>25</v>
      </c>
    </row>
    <row r="5" spans="1:21" x14ac:dyDescent="0.35">
      <c r="A5" s="3" t="s">
        <v>106</v>
      </c>
      <c r="B5" s="4" t="s">
        <v>104</v>
      </c>
      <c r="C5" s="3" t="s">
        <v>105</v>
      </c>
      <c r="D5" s="5">
        <v>45796</v>
      </c>
      <c r="E5" s="2">
        <v>4</v>
      </c>
      <c r="F5" s="2">
        <v>5</v>
      </c>
      <c r="G5" s="2">
        <v>2</v>
      </c>
      <c r="H5" s="2">
        <v>3</v>
      </c>
      <c r="I5" s="2">
        <v>16</v>
      </c>
      <c r="J5" s="2">
        <v>14</v>
      </c>
      <c r="K5" s="2">
        <v>2</v>
      </c>
      <c r="L5" s="2">
        <v>7</v>
      </c>
      <c r="M5" s="2">
        <v>7</v>
      </c>
      <c r="N5" s="2">
        <v>9</v>
      </c>
      <c r="O5" s="2">
        <v>10</v>
      </c>
      <c r="P5" s="2">
        <v>8</v>
      </c>
      <c r="Q5" s="2">
        <v>9</v>
      </c>
      <c r="R5" s="2">
        <v>96</v>
      </c>
      <c r="S5" s="2">
        <v>96</v>
      </c>
      <c r="T5" s="2" t="s">
        <v>107</v>
      </c>
      <c r="U5" s="2" t="s">
        <v>25</v>
      </c>
    </row>
    <row r="6" spans="1:21" x14ac:dyDescent="0.35">
      <c r="A6" s="3" t="s">
        <v>41</v>
      </c>
      <c r="B6" s="4" t="s">
        <v>42</v>
      </c>
      <c r="C6" s="2" t="s">
        <v>43</v>
      </c>
      <c r="D6" s="5">
        <v>45797</v>
      </c>
      <c r="E6" s="2">
        <v>17</v>
      </c>
      <c r="F6" s="2">
        <v>18</v>
      </c>
      <c r="G6" s="2">
        <v>20</v>
      </c>
      <c r="H6" s="2">
        <v>12</v>
      </c>
      <c r="I6" s="2">
        <v>20</v>
      </c>
      <c r="J6" s="2">
        <v>18</v>
      </c>
      <c r="K6" s="2">
        <v>17</v>
      </c>
      <c r="L6" s="2">
        <v>8</v>
      </c>
      <c r="M6" s="2">
        <v>9</v>
      </c>
      <c r="N6" s="2">
        <v>10</v>
      </c>
      <c r="O6" s="2">
        <v>8</v>
      </c>
      <c r="P6" s="2">
        <v>8</v>
      </c>
      <c r="Q6" s="2">
        <v>8</v>
      </c>
      <c r="R6" s="2">
        <v>173</v>
      </c>
      <c r="S6" s="2">
        <v>173</v>
      </c>
      <c r="T6" s="2" t="s">
        <v>24</v>
      </c>
      <c r="U6" s="2" t="s">
        <v>25</v>
      </c>
    </row>
    <row r="7" spans="1:21" x14ac:dyDescent="0.35">
      <c r="A7" s="2" t="s">
        <v>108</v>
      </c>
      <c r="B7" s="4" t="s">
        <v>109</v>
      </c>
      <c r="C7" s="2" t="s">
        <v>110</v>
      </c>
      <c r="D7" s="35">
        <v>45806</v>
      </c>
      <c r="E7" s="2">
        <v>19</v>
      </c>
      <c r="F7" s="2">
        <v>15</v>
      </c>
      <c r="G7" s="2">
        <v>20</v>
      </c>
      <c r="H7" s="2">
        <v>17</v>
      </c>
      <c r="I7" s="2">
        <v>17</v>
      </c>
      <c r="J7" s="2">
        <v>19</v>
      </c>
      <c r="K7" s="2">
        <v>17</v>
      </c>
      <c r="L7" s="2">
        <v>6</v>
      </c>
      <c r="M7" s="2">
        <v>6</v>
      </c>
      <c r="N7" s="2">
        <v>8</v>
      </c>
      <c r="O7" s="2">
        <v>8</v>
      </c>
      <c r="P7" s="2">
        <v>10</v>
      </c>
      <c r="Q7" s="2">
        <v>8</v>
      </c>
      <c r="R7" s="2">
        <f>SUM(E7:Q7)</f>
        <v>170</v>
      </c>
      <c r="S7" s="2">
        <v>170</v>
      </c>
      <c r="T7" s="2" t="s">
        <v>24</v>
      </c>
      <c r="U7" s="2" t="s">
        <v>25</v>
      </c>
    </row>
    <row r="8" spans="1:21" x14ac:dyDescent="0.35">
      <c r="A8" s="3" t="s">
        <v>45</v>
      </c>
      <c r="B8" s="4" t="s">
        <v>46</v>
      </c>
      <c r="C8" s="3" t="s">
        <v>47</v>
      </c>
      <c r="D8" s="34">
        <v>45805</v>
      </c>
      <c r="E8" s="2">
        <v>19</v>
      </c>
      <c r="F8" s="2">
        <v>18</v>
      </c>
      <c r="G8" s="2">
        <v>20</v>
      </c>
      <c r="H8" s="2">
        <v>19</v>
      </c>
      <c r="I8" s="2">
        <v>17</v>
      </c>
      <c r="J8" s="2">
        <v>19</v>
      </c>
      <c r="K8" s="2">
        <v>20</v>
      </c>
      <c r="L8" s="2">
        <v>10</v>
      </c>
      <c r="M8" s="2">
        <v>6</v>
      </c>
      <c r="N8" s="2">
        <v>10</v>
      </c>
      <c r="O8" s="2">
        <v>10</v>
      </c>
      <c r="P8" s="2">
        <v>10</v>
      </c>
      <c r="Q8" s="2">
        <v>9</v>
      </c>
      <c r="R8" s="2">
        <f>SUM(E8:Q8)</f>
        <v>187</v>
      </c>
      <c r="S8" s="2">
        <v>187</v>
      </c>
      <c r="T8" s="2" t="s">
        <v>24</v>
      </c>
      <c r="U8" s="2" t="s">
        <v>25</v>
      </c>
    </row>
    <row r="9" spans="1:21" x14ac:dyDescent="0.35">
      <c r="A9" s="3" t="s">
        <v>48</v>
      </c>
      <c r="B9" s="4" t="s">
        <v>49</v>
      </c>
      <c r="C9" s="3" t="s">
        <v>50</v>
      </c>
      <c r="D9" s="35">
        <v>45804</v>
      </c>
      <c r="E9" s="2">
        <v>15</v>
      </c>
      <c r="F9" s="2">
        <v>11</v>
      </c>
      <c r="G9" s="2">
        <v>19</v>
      </c>
      <c r="H9" s="2">
        <v>19</v>
      </c>
      <c r="I9" s="2">
        <v>12</v>
      </c>
      <c r="J9" s="2">
        <v>18</v>
      </c>
      <c r="K9" s="2">
        <v>15</v>
      </c>
      <c r="L9" s="2">
        <v>9</v>
      </c>
      <c r="M9" s="2">
        <v>10</v>
      </c>
      <c r="N9" s="2">
        <v>9</v>
      </c>
      <c r="O9" s="2">
        <v>10</v>
      </c>
      <c r="P9" s="2">
        <v>10</v>
      </c>
      <c r="Q9" s="2">
        <v>10</v>
      </c>
      <c r="R9" s="2">
        <f>SUM(E9:Q9)</f>
        <v>167</v>
      </c>
      <c r="S9" s="2">
        <v>167</v>
      </c>
      <c r="T9" s="2" t="s">
        <v>24</v>
      </c>
      <c r="U9" s="2" t="s">
        <v>25</v>
      </c>
    </row>
    <row r="10" spans="1:21" x14ac:dyDescent="0.35">
      <c r="A10" s="3" t="s">
        <v>51</v>
      </c>
      <c r="B10" s="4" t="s">
        <v>52</v>
      </c>
      <c r="C10" s="16" t="s">
        <v>53</v>
      </c>
      <c r="D10" s="34">
        <v>45805</v>
      </c>
      <c r="E10" s="2">
        <v>19</v>
      </c>
      <c r="F10" s="2">
        <v>16</v>
      </c>
      <c r="G10" s="2">
        <v>20</v>
      </c>
      <c r="H10" s="2">
        <v>19</v>
      </c>
      <c r="I10" s="2">
        <v>18</v>
      </c>
      <c r="J10" s="2">
        <v>16</v>
      </c>
      <c r="K10" s="2">
        <v>20</v>
      </c>
      <c r="L10" s="2">
        <v>10</v>
      </c>
      <c r="M10" s="2">
        <v>10</v>
      </c>
      <c r="N10" s="2">
        <v>5</v>
      </c>
      <c r="O10" s="2">
        <v>5</v>
      </c>
      <c r="P10" s="2">
        <v>4</v>
      </c>
      <c r="Q10" s="2">
        <v>4</v>
      </c>
      <c r="R10" s="2">
        <f>SUM(E10:Q10)</f>
        <v>166</v>
      </c>
      <c r="S10" s="2">
        <v>166</v>
      </c>
      <c r="T10" s="2" t="s">
        <v>24</v>
      </c>
      <c r="U10" s="2" t="s">
        <v>25</v>
      </c>
    </row>
    <row r="11" spans="1:21" x14ac:dyDescent="0.35">
      <c r="A11" s="3" t="s">
        <v>35</v>
      </c>
      <c r="B11" s="4" t="s">
        <v>36</v>
      </c>
      <c r="C11" s="3" t="s">
        <v>37</v>
      </c>
      <c r="D11" s="34">
        <v>45806</v>
      </c>
      <c r="E11" s="2">
        <v>20</v>
      </c>
      <c r="F11" s="2">
        <v>18</v>
      </c>
      <c r="G11" s="2">
        <v>20</v>
      </c>
      <c r="H11" s="2">
        <v>19</v>
      </c>
      <c r="I11" s="2">
        <v>20</v>
      </c>
      <c r="J11" s="2">
        <v>19</v>
      </c>
      <c r="K11" s="2">
        <v>18</v>
      </c>
      <c r="L11" s="2">
        <v>8</v>
      </c>
      <c r="M11" s="2">
        <v>9</v>
      </c>
      <c r="N11" s="2">
        <v>9</v>
      </c>
      <c r="O11" s="2">
        <v>9</v>
      </c>
      <c r="P11" s="2">
        <v>8</v>
      </c>
      <c r="Q11" s="2">
        <v>8</v>
      </c>
      <c r="R11" s="2">
        <f>SUM(E11:Q11)</f>
        <v>185</v>
      </c>
      <c r="S11" s="2">
        <v>185</v>
      </c>
      <c r="T11" s="2" t="s">
        <v>24</v>
      </c>
      <c r="U11" s="2" t="s">
        <v>25</v>
      </c>
    </row>
    <row r="12" spans="1:21" x14ac:dyDescent="0.35">
      <c r="C12" s="33"/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984E9-94EF-4FF7-BB8A-E0AB98B8963D}">
  <dimension ref="A1:AO25"/>
  <sheetViews>
    <sheetView topLeftCell="A3" workbookViewId="0">
      <pane xSplit="1" topLeftCell="B1" activePane="topRight" state="frozen"/>
      <selection activeCell="A3" sqref="A3"/>
      <selection pane="topRight" activeCell="C17" sqref="C17"/>
    </sheetView>
  </sheetViews>
  <sheetFormatPr defaultRowHeight="14.5" x14ac:dyDescent="0.35"/>
  <cols>
    <col min="1" max="1" width="17.453125" bestFit="1" customWidth="1"/>
    <col min="2" max="2" width="10.7265625" bestFit="1" customWidth="1"/>
    <col min="4" max="4" width="9.7265625" customWidth="1"/>
  </cols>
  <sheetData>
    <row r="1" spans="1:41" x14ac:dyDescent="0.35">
      <c r="Q1" s="45" t="s">
        <v>54</v>
      </c>
      <c r="R1" s="45"/>
      <c r="S1" s="45"/>
      <c r="T1" s="45"/>
      <c r="U1" s="45"/>
      <c r="V1" s="45"/>
      <c r="W1" s="45"/>
      <c r="Y1" s="46" t="s">
        <v>55</v>
      </c>
      <c r="Z1" s="46"/>
      <c r="AA1" s="46"/>
      <c r="AB1" s="46"/>
      <c r="AC1" s="46"/>
      <c r="AD1" s="46"/>
      <c r="AE1" s="46"/>
      <c r="AG1" s="47" t="s">
        <v>56</v>
      </c>
      <c r="AH1" s="47"/>
      <c r="AI1" s="47"/>
      <c r="AJ1" s="47"/>
      <c r="AK1" s="47"/>
      <c r="AL1" s="47"/>
      <c r="AM1" s="47"/>
      <c r="AN1" s="47"/>
      <c r="AO1" s="1"/>
    </row>
    <row r="2" spans="1:41" x14ac:dyDescent="0.35">
      <c r="Q2" s="19"/>
      <c r="R2" s="19"/>
      <c r="S2" s="19"/>
      <c r="T2" s="19"/>
      <c r="U2" s="19"/>
      <c r="V2" s="19"/>
      <c r="W2" s="19"/>
      <c r="Y2" s="19"/>
      <c r="AO2" s="1"/>
    </row>
    <row r="3" spans="1:41" ht="94" customHeight="1" x14ac:dyDescent="0.35">
      <c r="A3" s="8" t="s">
        <v>0</v>
      </c>
      <c r="B3" s="8" t="s">
        <v>1</v>
      </c>
      <c r="C3" s="8" t="s">
        <v>2</v>
      </c>
      <c r="D3" s="8" t="s">
        <v>57</v>
      </c>
      <c r="E3" s="8" t="s">
        <v>58</v>
      </c>
      <c r="F3" s="9" t="s">
        <v>59</v>
      </c>
      <c r="G3" s="9" t="s">
        <v>60</v>
      </c>
      <c r="H3" s="9" t="s">
        <v>61</v>
      </c>
      <c r="I3" s="9" t="s">
        <v>62</v>
      </c>
      <c r="J3" s="9" t="s">
        <v>63</v>
      </c>
      <c r="K3" s="9" t="s">
        <v>64</v>
      </c>
      <c r="L3" s="9" t="s">
        <v>65</v>
      </c>
      <c r="M3" s="2" t="s">
        <v>66</v>
      </c>
      <c r="N3" s="10" t="s">
        <v>67</v>
      </c>
      <c r="O3" s="11" t="s">
        <v>68</v>
      </c>
      <c r="P3" s="11" t="s">
        <v>69</v>
      </c>
      <c r="Q3" s="12" t="s">
        <v>70</v>
      </c>
      <c r="R3" s="12" t="s">
        <v>71</v>
      </c>
      <c r="S3" s="12" t="s">
        <v>72</v>
      </c>
      <c r="T3" s="12" t="s">
        <v>73</v>
      </c>
      <c r="U3" s="12" t="s">
        <v>74</v>
      </c>
      <c r="V3" s="12" t="s">
        <v>75</v>
      </c>
      <c r="W3" s="12" t="s">
        <v>76</v>
      </c>
      <c r="X3" s="13"/>
      <c r="Y3" s="12" t="s">
        <v>70</v>
      </c>
      <c r="Z3" s="12" t="s">
        <v>71</v>
      </c>
      <c r="AA3" s="12" t="s">
        <v>72</v>
      </c>
      <c r="AB3" s="12" t="s">
        <v>73</v>
      </c>
      <c r="AC3" s="12" t="s">
        <v>74</v>
      </c>
      <c r="AD3" s="12" t="s">
        <v>75</v>
      </c>
      <c r="AE3" s="12" t="s">
        <v>76</v>
      </c>
      <c r="AF3" s="14"/>
      <c r="AG3" s="12" t="s">
        <v>70</v>
      </c>
      <c r="AH3" s="12" t="s">
        <v>71</v>
      </c>
      <c r="AI3" s="12" t="s">
        <v>72</v>
      </c>
      <c r="AJ3" s="12" t="s">
        <v>73</v>
      </c>
      <c r="AK3" s="12" t="s">
        <v>74</v>
      </c>
      <c r="AL3" s="12" t="s">
        <v>75</v>
      </c>
      <c r="AM3" s="12" t="s">
        <v>76</v>
      </c>
      <c r="AN3" s="12" t="s">
        <v>77</v>
      </c>
      <c r="AO3" s="15" t="s">
        <v>78</v>
      </c>
    </row>
    <row r="4" spans="1:41" x14ac:dyDescent="0.35">
      <c r="A4" s="3" t="s">
        <v>21</v>
      </c>
      <c r="B4" s="4" t="s">
        <v>22</v>
      </c>
      <c r="C4" s="3" t="s">
        <v>23</v>
      </c>
      <c r="D4" s="29">
        <v>45436</v>
      </c>
      <c r="E4" s="31">
        <v>0.4236111111111111</v>
      </c>
      <c r="F4" s="6">
        <v>22.1</v>
      </c>
      <c r="G4" s="6">
        <v>18.5</v>
      </c>
      <c r="H4" s="6">
        <v>0.37280000000000002</v>
      </c>
      <c r="I4" s="6">
        <v>57.2</v>
      </c>
      <c r="J4" s="6">
        <v>5.24</v>
      </c>
      <c r="K4" s="6">
        <v>7.4</v>
      </c>
      <c r="L4" s="6">
        <v>7.8</v>
      </c>
      <c r="M4" t="s">
        <v>79</v>
      </c>
      <c r="N4" t="s">
        <v>22</v>
      </c>
      <c r="O4" s="19">
        <v>100</v>
      </c>
      <c r="P4" s="19">
        <v>14</v>
      </c>
      <c r="Q4" s="19">
        <v>22</v>
      </c>
      <c r="R4" s="20">
        <v>22.727272727272727</v>
      </c>
      <c r="S4" s="20">
        <v>4</v>
      </c>
      <c r="T4" s="19">
        <v>5</v>
      </c>
      <c r="U4" s="21">
        <v>5.9790000000000001</v>
      </c>
      <c r="V4" s="20">
        <v>1</v>
      </c>
      <c r="W4" s="19">
        <v>2</v>
      </c>
      <c r="X4" s="19"/>
      <c r="Y4" s="20">
        <v>20.971207707114715</v>
      </c>
      <c r="Z4" s="20">
        <v>22.727272727272727</v>
      </c>
      <c r="AA4" s="20">
        <v>7.3845668923596932</v>
      </c>
      <c r="AB4" s="20">
        <v>4.5750752664907193</v>
      </c>
      <c r="AC4" s="20">
        <v>5.7498544632473774</v>
      </c>
      <c r="AD4" s="20">
        <v>1</v>
      </c>
      <c r="AE4" s="19">
        <v>2</v>
      </c>
      <c r="AF4" s="19"/>
      <c r="AG4" s="32">
        <v>67.649057119724887</v>
      </c>
      <c r="AH4" s="32">
        <v>67.768595041322314</v>
      </c>
      <c r="AI4" s="32">
        <v>10.702270858492309</v>
      </c>
      <c r="AJ4" s="32">
        <v>41.591593331733812</v>
      </c>
      <c r="AK4" s="32">
        <v>31.524902972883105</v>
      </c>
      <c r="AL4" s="32">
        <v>12.5</v>
      </c>
      <c r="AM4" s="32">
        <v>25</v>
      </c>
      <c r="AN4" s="32">
        <v>36.676631332022346</v>
      </c>
      <c r="AO4" s="32" t="s">
        <v>80</v>
      </c>
    </row>
    <row r="5" spans="1:41" x14ac:dyDescent="0.35">
      <c r="A5" s="3" t="s">
        <v>26</v>
      </c>
      <c r="B5" s="4" t="s">
        <v>27</v>
      </c>
      <c r="C5" s="3" t="s">
        <v>28</v>
      </c>
      <c r="D5" s="29">
        <v>45434</v>
      </c>
      <c r="E5" s="31">
        <v>0.4055555555555555</v>
      </c>
      <c r="F5" s="6">
        <v>25</v>
      </c>
      <c r="G5" s="6">
        <v>18.3</v>
      </c>
      <c r="H5" s="6">
        <v>0.19350000000000001</v>
      </c>
      <c r="I5" s="6">
        <v>94.1</v>
      </c>
      <c r="J5" s="6">
        <v>8.66</v>
      </c>
      <c r="K5" s="6">
        <v>1.65</v>
      </c>
      <c r="L5" s="6">
        <v>8.6</v>
      </c>
      <c r="M5" t="s">
        <v>81</v>
      </c>
      <c r="N5" t="s">
        <v>27</v>
      </c>
      <c r="O5" s="19">
        <v>100</v>
      </c>
      <c r="P5" s="19">
        <v>17</v>
      </c>
      <c r="Q5" s="19">
        <v>38</v>
      </c>
      <c r="R5" s="20">
        <v>15.789473684210526</v>
      </c>
      <c r="S5" s="20">
        <v>36</v>
      </c>
      <c r="T5" s="19">
        <v>6</v>
      </c>
      <c r="U5" s="21">
        <v>4.5640000000000001</v>
      </c>
      <c r="V5" s="20">
        <v>3</v>
      </c>
      <c r="W5" s="19">
        <v>8</v>
      </c>
      <c r="X5" s="19"/>
      <c r="Y5" s="20">
        <v>36.61933665108846</v>
      </c>
      <c r="Z5" s="20">
        <v>15.789473684210526</v>
      </c>
      <c r="AA5" s="20">
        <v>40.548195115020192</v>
      </c>
      <c r="AB5" s="20">
        <v>5.4297060595438573</v>
      </c>
      <c r="AC5" s="20">
        <v>4.2574478901747455</v>
      </c>
      <c r="AD5" s="20">
        <v>3</v>
      </c>
      <c r="AE5" s="19">
        <v>8</v>
      </c>
      <c r="AF5" s="19"/>
      <c r="AG5" s="32">
        <v>100</v>
      </c>
      <c r="AH5" s="32">
        <v>80.382775119617222</v>
      </c>
      <c r="AI5" s="32">
        <v>58.765500166695929</v>
      </c>
      <c r="AJ5" s="32">
        <v>49.360964177671427</v>
      </c>
      <c r="AK5" s="32">
        <v>63.968524126635977</v>
      </c>
      <c r="AL5" s="32">
        <v>37.5</v>
      </c>
      <c r="AM5" s="32">
        <v>100</v>
      </c>
      <c r="AN5" s="32">
        <v>69.996823370088649</v>
      </c>
      <c r="AO5" s="32" t="s">
        <v>82</v>
      </c>
    </row>
    <row r="6" spans="1:41" x14ac:dyDescent="0.35">
      <c r="A6" s="3" t="s">
        <v>29</v>
      </c>
      <c r="B6" s="4" t="s">
        <v>30</v>
      </c>
      <c r="C6" s="3" t="s">
        <v>31</v>
      </c>
      <c r="D6" s="29">
        <v>45436</v>
      </c>
      <c r="E6" s="31">
        <v>0.56805555555555554</v>
      </c>
      <c r="F6" s="6">
        <v>24</v>
      </c>
      <c r="G6" s="6">
        <v>24.3</v>
      </c>
      <c r="H6" s="6">
        <v>0.51100000000000001</v>
      </c>
      <c r="I6" s="6">
        <v>100.1</v>
      </c>
      <c r="J6" s="6">
        <v>8.2100000000000009</v>
      </c>
      <c r="K6" s="6">
        <v>4.66</v>
      </c>
      <c r="L6" s="6">
        <v>8.9</v>
      </c>
      <c r="M6" t="s">
        <v>83</v>
      </c>
      <c r="N6" t="s">
        <v>30</v>
      </c>
      <c r="O6" s="19">
        <v>100</v>
      </c>
      <c r="P6" s="19">
        <v>27</v>
      </c>
      <c r="Q6" s="19">
        <v>24</v>
      </c>
      <c r="R6" s="20">
        <v>20.833333333333336</v>
      </c>
      <c r="S6" s="20">
        <v>8</v>
      </c>
      <c r="T6" s="19">
        <v>2</v>
      </c>
      <c r="U6" s="21">
        <v>5.556</v>
      </c>
      <c r="V6" s="20">
        <v>2</v>
      </c>
      <c r="W6" s="19">
        <v>4</v>
      </c>
      <c r="X6" s="19"/>
      <c r="Y6" s="20">
        <v>21.780919012164546</v>
      </c>
      <c r="Z6" s="20">
        <v>20.833333333333336</v>
      </c>
      <c r="AA6" s="20">
        <v>15.320819945394032</v>
      </c>
      <c r="AB6" s="20">
        <v>1.0833288705899067</v>
      </c>
      <c r="AC6" s="20">
        <v>5.0650080645020505</v>
      </c>
      <c r="AD6" s="20">
        <v>2</v>
      </c>
      <c r="AE6" s="19">
        <v>4</v>
      </c>
      <c r="AF6" s="19"/>
      <c r="AG6" s="32">
        <v>70.261029071498541</v>
      </c>
      <c r="AH6" s="32">
        <v>71.212121212121204</v>
      </c>
      <c r="AI6" s="32">
        <v>22.204086877382654</v>
      </c>
      <c r="AJ6" s="32">
        <v>9.8484442780900618</v>
      </c>
      <c r="AK6" s="32">
        <v>46.412868162998912</v>
      </c>
      <c r="AL6" s="32">
        <v>25</v>
      </c>
      <c r="AM6" s="32">
        <v>50</v>
      </c>
      <c r="AN6" s="32">
        <v>42.134078514584481</v>
      </c>
      <c r="AO6" s="32" t="s">
        <v>84</v>
      </c>
    </row>
    <row r="7" spans="1:41" x14ac:dyDescent="0.35">
      <c r="A7" s="3" t="s">
        <v>32</v>
      </c>
      <c r="B7" s="4" t="s">
        <v>33</v>
      </c>
      <c r="C7" s="3" t="s">
        <v>34</v>
      </c>
      <c r="D7" s="29">
        <v>45406</v>
      </c>
      <c r="E7" s="31">
        <v>0.41666666666666669</v>
      </c>
      <c r="F7" s="6">
        <v>17.399999999999999</v>
      </c>
      <c r="G7" s="6">
        <v>11.8</v>
      </c>
      <c r="H7" s="6">
        <v>6.6600000000000006E-2</v>
      </c>
      <c r="I7" s="6">
        <v>107.6</v>
      </c>
      <c r="J7" s="6">
        <v>11.42</v>
      </c>
      <c r="K7" s="6">
        <v>1.39</v>
      </c>
      <c r="L7" s="6">
        <v>8.1</v>
      </c>
      <c r="M7" t="s">
        <v>85</v>
      </c>
      <c r="N7" t="s">
        <v>33</v>
      </c>
      <c r="O7" s="19">
        <v>100</v>
      </c>
      <c r="P7" s="19">
        <v>38</v>
      </c>
      <c r="Q7" s="19">
        <v>28</v>
      </c>
      <c r="R7" s="20">
        <v>3.5714285714285712</v>
      </c>
      <c r="S7" s="20">
        <v>50</v>
      </c>
      <c r="T7" s="19">
        <v>5</v>
      </c>
      <c r="U7" s="21">
        <v>3.5660000000000003</v>
      </c>
      <c r="V7" s="20">
        <v>6</v>
      </c>
      <c r="W7" s="19">
        <v>5</v>
      </c>
      <c r="X7" s="19"/>
      <c r="Y7" s="20">
        <v>25.161563051318055</v>
      </c>
      <c r="Z7" s="20">
        <v>3.5714285714285712</v>
      </c>
      <c r="AA7" s="20">
        <v>59.369013633311994</v>
      </c>
      <c r="AB7" s="20">
        <v>3.8274530794326207</v>
      </c>
      <c r="AC7" s="20">
        <v>2.938758658305769</v>
      </c>
      <c r="AD7" s="20">
        <v>6</v>
      </c>
      <c r="AE7" s="19">
        <v>5</v>
      </c>
      <c r="AF7" s="19"/>
      <c r="AG7" s="32">
        <v>81.166332423606619</v>
      </c>
      <c r="AH7" s="32">
        <v>100</v>
      </c>
      <c r="AI7" s="32">
        <v>86.042048743930422</v>
      </c>
      <c r="AJ7" s="32">
        <v>34.795027994842002</v>
      </c>
      <c r="AK7" s="32">
        <v>92.635681341178952</v>
      </c>
      <c r="AL7" s="32">
        <v>75</v>
      </c>
      <c r="AM7" s="32">
        <v>62.5</v>
      </c>
      <c r="AN7" s="32">
        <v>76.019870071936865</v>
      </c>
      <c r="AO7" s="32" t="s">
        <v>82</v>
      </c>
    </row>
    <row r="8" spans="1:41" x14ac:dyDescent="0.35">
      <c r="A8" s="2" t="s">
        <v>35</v>
      </c>
      <c r="B8" s="4" t="s">
        <v>36</v>
      </c>
      <c r="C8" s="2" t="s">
        <v>37</v>
      </c>
      <c r="D8" s="30">
        <v>45440</v>
      </c>
      <c r="E8" s="31">
        <v>0.47013888888888888</v>
      </c>
      <c r="F8" s="6">
        <v>24.3</v>
      </c>
      <c r="G8" s="6">
        <v>22.2</v>
      </c>
      <c r="H8" s="6">
        <v>0.3594</v>
      </c>
      <c r="I8" s="6">
        <v>94.2</v>
      </c>
      <c r="J8" s="6">
        <v>8.0399999999999991</v>
      </c>
      <c r="K8" s="6">
        <v>3.31</v>
      </c>
      <c r="L8" s="6">
        <v>8.1999999999999993</v>
      </c>
      <c r="M8" t="s">
        <v>86</v>
      </c>
      <c r="N8" t="s">
        <v>39</v>
      </c>
      <c r="O8" s="19">
        <v>100</v>
      </c>
      <c r="P8" s="19">
        <v>50</v>
      </c>
      <c r="Q8" s="19">
        <v>25</v>
      </c>
      <c r="R8" s="20">
        <v>24</v>
      </c>
      <c r="S8" s="20">
        <v>61</v>
      </c>
      <c r="T8" s="19">
        <v>11</v>
      </c>
      <c r="U8" s="21">
        <v>3.5430000000000001</v>
      </c>
      <c r="V8" s="20">
        <v>1</v>
      </c>
      <c r="W8" s="19">
        <v>7</v>
      </c>
      <c r="X8" s="19"/>
      <c r="Y8" s="20">
        <v>21.664198171905795</v>
      </c>
      <c r="Z8" s="20">
        <v>24</v>
      </c>
      <c r="AA8" s="20">
        <v>72.013786059837074</v>
      </c>
      <c r="AB8" s="20">
        <v>9.621975712524705</v>
      </c>
      <c r="AC8" s="20">
        <v>2.8063455360195357</v>
      </c>
      <c r="AD8" s="20">
        <v>1</v>
      </c>
      <c r="AE8" s="19">
        <v>7</v>
      </c>
      <c r="AF8" s="19"/>
      <c r="AG8" s="32">
        <v>69.884510231954181</v>
      </c>
      <c r="AH8" s="32">
        <v>65.454545454545453</v>
      </c>
      <c r="AI8" s="32">
        <v>100</v>
      </c>
      <c r="AJ8" s="32">
        <v>87.472506477497319</v>
      </c>
      <c r="AK8" s="32">
        <v>95.514227477836201</v>
      </c>
      <c r="AL8" s="32">
        <v>12.5</v>
      </c>
      <c r="AM8" s="32">
        <v>87.5</v>
      </c>
      <c r="AN8" s="32">
        <v>74.046541377404736</v>
      </c>
      <c r="AO8" s="32" t="s">
        <v>82</v>
      </c>
    </row>
    <row r="9" spans="1:41" x14ac:dyDescent="0.35">
      <c r="A9" s="2" t="s">
        <v>38</v>
      </c>
      <c r="B9" s="4" t="s">
        <v>39</v>
      </c>
      <c r="C9" s="2" t="s">
        <v>40</v>
      </c>
      <c r="D9" s="30">
        <v>45414</v>
      </c>
      <c r="E9" s="31">
        <v>0.52777777777777779</v>
      </c>
      <c r="F9" s="6">
        <v>23.8</v>
      </c>
      <c r="G9" s="6">
        <v>19.2</v>
      </c>
      <c r="H9" s="6">
        <v>0.39250000000000002</v>
      </c>
      <c r="I9" s="6">
        <v>140</v>
      </c>
      <c r="J9" s="6">
        <v>12.75</v>
      </c>
      <c r="K9" s="6">
        <v>2.64</v>
      </c>
      <c r="L9" s="6">
        <v>8.8000000000000007</v>
      </c>
      <c r="M9" t="s">
        <v>87</v>
      </c>
      <c r="N9" t="s">
        <v>42</v>
      </c>
      <c r="O9" s="19">
        <v>100</v>
      </c>
      <c r="P9" s="19">
        <v>50</v>
      </c>
      <c r="Q9" s="19">
        <v>26</v>
      </c>
      <c r="R9" s="20">
        <v>15.384615384615385</v>
      </c>
      <c r="S9" s="20">
        <v>34</v>
      </c>
      <c r="T9" s="19">
        <v>12</v>
      </c>
      <c r="U9" s="21">
        <v>4.33</v>
      </c>
      <c r="V9" s="20">
        <v>2</v>
      </c>
      <c r="W9" s="19">
        <v>5</v>
      </c>
      <c r="X9" s="19"/>
      <c r="Y9" s="20">
        <v>22.664198171905795</v>
      </c>
      <c r="Z9" s="20">
        <v>15.384615384615385</v>
      </c>
      <c r="AA9" s="20">
        <v>45.013786059837074</v>
      </c>
      <c r="AB9" s="20">
        <v>10.621975712524705</v>
      </c>
      <c r="AC9" s="20">
        <v>3.5933455360195357</v>
      </c>
      <c r="AD9" s="20">
        <v>2</v>
      </c>
      <c r="AE9" s="19">
        <v>5</v>
      </c>
      <c r="AF9" s="19"/>
      <c r="AG9" s="32">
        <v>73.110316683567078</v>
      </c>
      <c r="AH9" s="32">
        <v>81.118881118881106</v>
      </c>
      <c r="AI9" s="32">
        <v>65.237371101213142</v>
      </c>
      <c r="AJ9" s="32">
        <v>96.563415568406413</v>
      </c>
      <c r="AK9" s="32">
        <v>78.40553182566228</v>
      </c>
      <c r="AL9" s="32">
        <v>25</v>
      </c>
      <c r="AM9" s="32">
        <v>62.5</v>
      </c>
      <c r="AN9" s="32">
        <v>68.847930899675717</v>
      </c>
      <c r="AO9" s="32" t="s">
        <v>82</v>
      </c>
    </row>
    <row r="10" spans="1:41" x14ac:dyDescent="0.35">
      <c r="A10" s="3" t="s">
        <v>41</v>
      </c>
      <c r="B10" s="4" t="s">
        <v>42</v>
      </c>
      <c r="C10" s="3" t="s">
        <v>43</v>
      </c>
      <c r="D10" s="29">
        <v>45414</v>
      </c>
      <c r="E10" s="31">
        <v>0.44097222222222227</v>
      </c>
      <c r="F10" s="6">
        <v>21.7</v>
      </c>
      <c r="G10" s="6">
        <v>17.8</v>
      </c>
      <c r="H10" s="6">
        <v>0.38700000000000001</v>
      </c>
      <c r="I10" s="6">
        <v>113.6</v>
      </c>
      <c r="J10" s="6">
        <v>10.67</v>
      </c>
      <c r="K10" s="6">
        <v>2.39</v>
      </c>
      <c r="L10" s="6">
        <v>8.6999999999999993</v>
      </c>
      <c r="M10" t="s">
        <v>88</v>
      </c>
      <c r="N10" t="s">
        <v>36</v>
      </c>
      <c r="O10" s="19">
        <v>100</v>
      </c>
      <c r="P10" s="19">
        <v>50</v>
      </c>
      <c r="Q10" s="19">
        <v>23</v>
      </c>
      <c r="R10" s="20">
        <v>13.043478260869565</v>
      </c>
      <c r="S10" s="20">
        <v>43</v>
      </c>
      <c r="T10" s="19">
        <v>10</v>
      </c>
      <c r="U10" s="21">
        <v>3.58</v>
      </c>
      <c r="V10" s="20">
        <v>2</v>
      </c>
      <c r="W10" s="19">
        <v>8</v>
      </c>
      <c r="X10" s="19"/>
      <c r="Y10" s="20">
        <v>19.664198171905795</v>
      </c>
      <c r="Z10" s="20">
        <v>13.043478260869565</v>
      </c>
      <c r="AA10" s="20">
        <v>54.013786059837074</v>
      </c>
      <c r="AB10" s="20">
        <v>8.621975712524705</v>
      </c>
      <c r="AC10" s="20">
        <v>2.8433455360195357</v>
      </c>
      <c r="AD10" s="20">
        <v>2</v>
      </c>
      <c r="AE10" s="19">
        <v>8</v>
      </c>
      <c r="AF10" s="19"/>
      <c r="AG10" s="32">
        <v>63.43289732872838</v>
      </c>
      <c r="AH10" s="32">
        <v>85.37549407114625</v>
      </c>
      <c r="AI10" s="32">
        <v>78.280849362082719</v>
      </c>
      <c r="AJ10" s="32">
        <v>78.381597386588226</v>
      </c>
      <c r="AK10" s="32">
        <v>94.709879651749233</v>
      </c>
      <c r="AL10" s="32">
        <v>25</v>
      </c>
      <c r="AM10" s="32">
        <v>100</v>
      </c>
      <c r="AN10" s="32">
        <v>75.025816828613543</v>
      </c>
      <c r="AO10" s="32" t="s">
        <v>82</v>
      </c>
    </row>
    <row r="11" spans="1:41" x14ac:dyDescent="0.35">
      <c r="A11" s="2" t="s">
        <v>45</v>
      </c>
      <c r="B11" s="4" t="s">
        <v>46</v>
      </c>
      <c r="C11" s="3" t="s">
        <v>47</v>
      </c>
      <c r="D11" s="30">
        <v>45413</v>
      </c>
      <c r="E11" s="31">
        <v>0.54513888888888895</v>
      </c>
      <c r="F11" s="6">
        <v>21.3</v>
      </c>
      <c r="G11" s="6">
        <v>18.600000000000001</v>
      </c>
      <c r="H11" s="6">
        <v>0.36359999999999998</v>
      </c>
      <c r="I11" s="6">
        <v>131.30000000000001</v>
      </c>
      <c r="J11" s="6">
        <v>12.12</v>
      </c>
      <c r="K11" s="6">
        <v>1.85</v>
      </c>
      <c r="L11" s="6">
        <v>8.6999999999999993</v>
      </c>
      <c r="M11" t="s">
        <v>89</v>
      </c>
      <c r="N11" t="s">
        <v>46</v>
      </c>
      <c r="O11" s="19">
        <v>100</v>
      </c>
      <c r="P11" s="19">
        <v>50</v>
      </c>
      <c r="Q11" s="19">
        <v>31</v>
      </c>
      <c r="R11" s="20">
        <v>16.129032258064516</v>
      </c>
      <c r="S11" s="20">
        <v>60</v>
      </c>
      <c r="T11" s="19">
        <v>9</v>
      </c>
      <c r="U11" s="21">
        <v>3.5060000000000002</v>
      </c>
      <c r="V11" s="20">
        <v>3</v>
      </c>
      <c r="W11" s="19">
        <v>9</v>
      </c>
      <c r="X11" s="19"/>
      <c r="Y11" s="20">
        <v>27.664198171905795</v>
      </c>
      <c r="Z11" s="20">
        <v>16.129032258064516</v>
      </c>
      <c r="AA11" s="20">
        <v>71.013786059837074</v>
      </c>
      <c r="AB11" s="20">
        <v>7.621975712524705</v>
      </c>
      <c r="AC11" s="20">
        <v>2.7693455360195358</v>
      </c>
      <c r="AD11" s="20">
        <v>3</v>
      </c>
      <c r="AE11" s="19">
        <v>9</v>
      </c>
      <c r="AF11" s="19"/>
      <c r="AG11" s="32">
        <v>89.239348941631604</v>
      </c>
      <c r="AH11" s="32">
        <v>79.765395894428167</v>
      </c>
      <c r="AI11" s="32">
        <v>100</v>
      </c>
      <c r="AJ11" s="32">
        <v>69.290688295679132</v>
      </c>
      <c r="AK11" s="32">
        <v>96.318575303923154</v>
      </c>
      <c r="AL11" s="32">
        <v>37.5</v>
      </c>
      <c r="AM11" s="32">
        <v>100</v>
      </c>
      <c r="AN11" s="32">
        <v>81.730572633666014</v>
      </c>
      <c r="AO11" s="32" t="s">
        <v>82</v>
      </c>
    </row>
    <row r="12" spans="1:41" x14ac:dyDescent="0.35">
      <c r="A12" s="39" t="s">
        <v>51</v>
      </c>
      <c r="B12" s="38" t="s">
        <v>52</v>
      </c>
      <c r="C12" s="16" t="s">
        <v>53</v>
      </c>
      <c r="D12" s="30">
        <v>45413</v>
      </c>
      <c r="E12" s="31">
        <v>0.48472222222222222</v>
      </c>
      <c r="F12" s="2">
        <v>24.7</v>
      </c>
      <c r="G12" s="6">
        <v>17.8</v>
      </c>
      <c r="H12" s="6">
        <v>0.35399999999999998</v>
      </c>
      <c r="I12" s="6">
        <v>121.6</v>
      </c>
      <c r="J12" s="6">
        <v>11.41</v>
      </c>
      <c r="K12" s="6">
        <v>3.06</v>
      </c>
      <c r="L12" s="6">
        <v>8.4</v>
      </c>
      <c r="M12" t="s">
        <v>90</v>
      </c>
      <c r="N12" t="s">
        <v>49</v>
      </c>
      <c r="O12" s="19">
        <v>100</v>
      </c>
      <c r="P12" s="19">
        <v>51</v>
      </c>
      <c r="Q12" s="19">
        <v>26</v>
      </c>
      <c r="R12" s="20">
        <v>3.8461538461538463</v>
      </c>
      <c r="S12" s="20">
        <v>39</v>
      </c>
      <c r="T12" s="19">
        <v>6</v>
      </c>
      <c r="U12" s="21">
        <v>4.46</v>
      </c>
      <c r="V12" s="20">
        <v>1</v>
      </c>
      <c r="W12" s="19">
        <v>7</v>
      </c>
      <c r="X12" s="19"/>
      <c r="Y12" s="20">
        <v>22.628309655143312</v>
      </c>
      <c r="Z12" s="20">
        <v>3.8461538461538463</v>
      </c>
      <c r="AA12" s="20">
        <v>50.132468430151533</v>
      </c>
      <c r="AB12" s="20">
        <v>4.6071490164071598</v>
      </c>
      <c r="AC12" s="20">
        <v>3.7154505783420957</v>
      </c>
      <c r="AD12" s="20">
        <v>1</v>
      </c>
      <c r="AE12" s="19">
        <v>7</v>
      </c>
      <c r="AF12" s="19"/>
      <c r="AG12" s="32">
        <v>72.994547274655844</v>
      </c>
      <c r="AH12" s="32">
        <v>100</v>
      </c>
      <c r="AI12" s="32">
        <v>72.655751348045712</v>
      </c>
      <c r="AJ12" s="32">
        <v>41.883172876428723</v>
      </c>
      <c r="AK12" s="32">
        <v>75.75107438386749</v>
      </c>
      <c r="AL12" s="32">
        <v>12.5</v>
      </c>
      <c r="AM12" s="32">
        <v>87.5</v>
      </c>
      <c r="AN12" s="32">
        <v>66.183506554713958</v>
      </c>
      <c r="AO12" s="32" t="s">
        <v>82</v>
      </c>
    </row>
    <row r="13" spans="1:41" x14ac:dyDescent="0.35">
      <c r="A13" s="37" t="s">
        <v>48</v>
      </c>
      <c r="B13" s="38" t="s">
        <v>49</v>
      </c>
      <c r="C13" s="3" t="s">
        <v>50</v>
      </c>
      <c r="D13" s="29">
        <v>45413</v>
      </c>
      <c r="E13" s="31">
        <v>0.40625</v>
      </c>
      <c r="F13" s="6">
        <v>21.3</v>
      </c>
      <c r="G13" s="6">
        <v>17.100000000000001</v>
      </c>
      <c r="H13" s="6">
        <v>0.3523</v>
      </c>
      <c r="I13" s="6">
        <v>101.9</v>
      </c>
      <c r="J13" s="6">
        <v>9.7200000000000006</v>
      </c>
      <c r="K13" s="6">
        <v>2.0099999999999998</v>
      </c>
      <c r="L13" s="6">
        <v>8.3000000000000007</v>
      </c>
      <c r="M13" t="s">
        <v>91</v>
      </c>
      <c r="N13" t="s">
        <v>52</v>
      </c>
      <c r="O13" s="19">
        <v>100</v>
      </c>
      <c r="P13" s="19">
        <v>51</v>
      </c>
      <c r="Q13" s="19">
        <v>27</v>
      </c>
      <c r="R13" s="20">
        <v>25.925925925925924</v>
      </c>
      <c r="S13" s="20">
        <v>11</v>
      </c>
      <c r="T13" s="19">
        <v>6</v>
      </c>
      <c r="U13" s="21">
        <v>5.8159999999999998</v>
      </c>
      <c r="V13" s="20">
        <v>0</v>
      </c>
      <c r="W13" s="19">
        <v>5</v>
      </c>
      <c r="X13" s="19"/>
      <c r="Y13" s="20">
        <v>23.628309655143312</v>
      </c>
      <c r="Z13" s="20">
        <v>25.925925925925924</v>
      </c>
      <c r="AA13" s="20">
        <v>22.132468430151526</v>
      </c>
      <c r="AB13" s="20">
        <v>4.6071490164071598</v>
      </c>
      <c r="AC13" s="20">
        <v>5.0714505783420938</v>
      </c>
      <c r="AD13" s="20">
        <v>0</v>
      </c>
      <c r="AE13" s="19">
        <v>5</v>
      </c>
      <c r="AF13" s="19"/>
      <c r="AG13" s="32">
        <v>76.220353726268755</v>
      </c>
      <c r="AH13" s="32">
        <v>61.952861952861959</v>
      </c>
      <c r="AI13" s="32">
        <v>32.076041203118152</v>
      </c>
      <c r="AJ13" s="32">
        <v>41.883172876428723</v>
      </c>
      <c r="AK13" s="32">
        <v>46.272813514302321</v>
      </c>
      <c r="AL13" s="32">
        <v>0</v>
      </c>
      <c r="AM13" s="32">
        <v>62.5</v>
      </c>
      <c r="AN13" s="32">
        <v>45.84360618185427</v>
      </c>
      <c r="AO13" s="32" t="s">
        <v>84</v>
      </c>
    </row>
    <row r="16" spans="1:41" x14ac:dyDescent="0.35">
      <c r="O16" s="19"/>
      <c r="P16" s="19"/>
      <c r="Q16" s="19"/>
      <c r="R16" s="20"/>
      <c r="S16" s="20"/>
      <c r="T16" s="19"/>
      <c r="U16" s="21"/>
      <c r="V16" s="20"/>
      <c r="W16" s="19"/>
    </row>
    <row r="17" spans="15:23" x14ac:dyDescent="0.35">
      <c r="O17" s="19"/>
      <c r="P17" s="19"/>
      <c r="Q17" s="19"/>
      <c r="R17" s="20"/>
      <c r="S17" s="20"/>
      <c r="T17" s="19"/>
      <c r="U17" s="21"/>
      <c r="V17" s="20"/>
      <c r="W17" s="19"/>
    </row>
    <row r="18" spans="15:23" x14ac:dyDescent="0.35">
      <c r="O18" s="19"/>
      <c r="P18" s="19"/>
      <c r="Q18" s="19"/>
      <c r="R18" s="20"/>
      <c r="S18" s="20"/>
      <c r="T18" s="19"/>
      <c r="U18" s="21"/>
      <c r="V18" s="20"/>
      <c r="W18" s="19"/>
    </row>
    <row r="19" spans="15:23" x14ac:dyDescent="0.35">
      <c r="O19" s="19"/>
      <c r="P19" s="19"/>
      <c r="Q19" s="19"/>
      <c r="R19" s="20"/>
      <c r="S19" s="20"/>
      <c r="T19" s="19"/>
      <c r="U19" s="21"/>
      <c r="V19" s="20"/>
      <c r="W19" s="19"/>
    </row>
    <row r="20" spans="15:23" x14ac:dyDescent="0.35">
      <c r="O20" s="19"/>
      <c r="P20" s="19"/>
      <c r="Q20" s="19"/>
      <c r="R20" s="20"/>
      <c r="S20" s="20"/>
      <c r="T20" s="19"/>
      <c r="U20" s="21"/>
      <c r="V20" s="20"/>
      <c r="W20" s="19"/>
    </row>
    <row r="21" spans="15:23" x14ac:dyDescent="0.35">
      <c r="O21" s="19"/>
      <c r="P21" s="19"/>
      <c r="Q21" s="19"/>
      <c r="R21" s="20"/>
      <c r="S21" s="20"/>
      <c r="T21" s="19"/>
      <c r="U21" s="21"/>
      <c r="V21" s="20"/>
      <c r="W21" s="19"/>
    </row>
    <row r="22" spans="15:23" x14ac:dyDescent="0.35">
      <c r="O22" s="19"/>
      <c r="P22" s="19"/>
      <c r="Q22" s="19"/>
      <c r="R22" s="20"/>
      <c r="S22" s="20"/>
      <c r="T22" s="19"/>
      <c r="U22" s="21"/>
      <c r="V22" s="20"/>
      <c r="W22" s="19"/>
    </row>
    <row r="23" spans="15:23" x14ac:dyDescent="0.35">
      <c r="O23" s="19"/>
      <c r="P23" s="19"/>
      <c r="Q23" s="19"/>
      <c r="R23" s="20"/>
      <c r="S23" s="20"/>
      <c r="T23" s="19"/>
      <c r="U23" s="21"/>
      <c r="V23" s="20"/>
      <c r="W23" s="19"/>
    </row>
    <row r="24" spans="15:23" x14ac:dyDescent="0.35">
      <c r="O24" s="19"/>
      <c r="P24" s="19"/>
      <c r="Q24" s="19"/>
      <c r="R24" s="20"/>
      <c r="S24" s="20"/>
      <c r="T24" s="19"/>
      <c r="U24" s="21"/>
      <c r="V24" s="20"/>
      <c r="W24" s="19"/>
    </row>
    <row r="25" spans="15:23" x14ac:dyDescent="0.35">
      <c r="O25" s="19"/>
      <c r="P25" s="19"/>
      <c r="Q25" s="19"/>
      <c r="R25" s="20"/>
      <c r="S25" s="20"/>
      <c r="T25" s="19"/>
      <c r="U25" s="21"/>
      <c r="V25" s="20"/>
      <c r="W25" s="19"/>
    </row>
  </sheetData>
  <mergeCells count="3">
    <mergeCell ref="Q1:W1"/>
    <mergeCell ref="Y1:AE1"/>
    <mergeCell ref="AG1:AN1"/>
  </mergeCells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88AF6-A85D-4AC3-8A6B-59D1B588D87A}">
  <dimension ref="A1:AO25"/>
  <sheetViews>
    <sheetView topLeftCell="A3" workbookViewId="0">
      <pane xSplit="1" topLeftCell="B1" activePane="topRight" state="frozen"/>
      <selection activeCell="A3" sqref="A3"/>
      <selection pane="topRight" activeCell="B9" sqref="B9:C9"/>
    </sheetView>
  </sheetViews>
  <sheetFormatPr defaultRowHeight="14.5" x14ac:dyDescent="0.35"/>
  <cols>
    <col min="1" max="1" width="17.453125" bestFit="1" customWidth="1"/>
    <col min="2" max="2" width="10.7265625" bestFit="1" customWidth="1"/>
    <col min="4" max="4" width="9.7265625" customWidth="1"/>
  </cols>
  <sheetData>
    <row r="1" spans="1:41" x14ac:dyDescent="0.35">
      <c r="Q1" s="45" t="s">
        <v>54</v>
      </c>
      <c r="R1" s="45"/>
      <c r="S1" s="45"/>
      <c r="T1" s="45"/>
      <c r="U1" s="45"/>
      <c r="V1" s="45"/>
      <c r="W1" s="45"/>
      <c r="Y1" s="46" t="s">
        <v>55</v>
      </c>
      <c r="Z1" s="46"/>
      <c r="AA1" s="46"/>
      <c r="AB1" s="46"/>
      <c r="AC1" s="46"/>
      <c r="AD1" s="46"/>
      <c r="AE1" s="46"/>
      <c r="AG1" s="47" t="s">
        <v>56</v>
      </c>
      <c r="AH1" s="47"/>
      <c r="AI1" s="47"/>
      <c r="AJ1" s="47"/>
      <c r="AK1" s="47"/>
      <c r="AL1" s="47"/>
      <c r="AM1" s="47"/>
      <c r="AN1" s="47"/>
      <c r="AO1" s="1"/>
    </row>
    <row r="2" spans="1:41" x14ac:dyDescent="0.35">
      <c r="Q2" s="19"/>
      <c r="R2" s="19"/>
      <c r="S2" s="19"/>
      <c r="T2" s="19"/>
      <c r="U2" s="19"/>
      <c r="V2" s="19"/>
      <c r="W2" s="19"/>
      <c r="Y2" s="19"/>
      <c r="AO2" s="1"/>
    </row>
    <row r="3" spans="1:41" ht="94" customHeight="1" x14ac:dyDescent="0.35">
      <c r="A3" s="8" t="s">
        <v>0</v>
      </c>
      <c r="B3" s="8" t="s">
        <v>1</v>
      </c>
      <c r="C3" s="8" t="s">
        <v>2</v>
      </c>
      <c r="D3" s="8" t="s">
        <v>57</v>
      </c>
      <c r="E3" s="8" t="s">
        <v>58</v>
      </c>
      <c r="F3" s="9" t="s">
        <v>59</v>
      </c>
      <c r="G3" s="9" t="s">
        <v>60</v>
      </c>
      <c r="H3" s="9" t="s">
        <v>61</v>
      </c>
      <c r="I3" s="9" t="s">
        <v>62</v>
      </c>
      <c r="J3" s="9" t="s">
        <v>63</v>
      </c>
      <c r="K3" s="9" t="s">
        <v>64</v>
      </c>
      <c r="L3" s="9" t="s">
        <v>65</v>
      </c>
      <c r="M3" s="2" t="s">
        <v>66</v>
      </c>
      <c r="N3" s="10" t="s">
        <v>67</v>
      </c>
      <c r="O3" s="11" t="s">
        <v>68</v>
      </c>
      <c r="P3" s="11" t="s">
        <v>69</v>
      </c>
      <c r="Q3" s="12" t="s">
        <v>70</v>
      </c>
      <c r="R3" s="12" t="s">
        <v>71</v>
      </c>
      <c r="S3" s="12" t="s">
        <v>72</v>
      </c>
      <c r="T3" s="12" t="s">
        <v>73</v>
      </c>
      <c r="U3" s="12" t="s">
        <v>74</v>
      </c>
      <c r="V3" s="12" t="s">
        <v>75</v>
      </c>
      <c r="W3" s="12" t="s">
        <v>76</v>
      </c>
      <c r="X3" s="13"/>
      <c r="Y3" s="12" t="s">
        <v>70</v>
      </c>
      <c r="Z3" s="12" t="s">
        <v>71</v>
      </c>
      <c r="AA3" s="12" t="s">
        <v>72</v>
      </c>
      <c r="AB3" s="12" t="s">
        <v>73</v>
      </c>
      <c r="AC3" s="12" t="s">
        <v>74</v>
      </c>
      <c r="AD3" s="12" t="s">
        <v>75</v>
      </c>
      <c r="AE3" s="12" t="s">
        <v>76</v>
      </c>
      <c r="AF3" s="14"/>
      <c r="AG3" s="12" t="s">
        <v>70</v>
      </c>
      <c r="AH3" s="12" t="s">
        <v>71</v>
      </c>
      <c r="AI3" s="12" t="s">
        <v>72</v>
      </c>
      <c r="AJ3" s="12" t="s">
        <v>73</v>
      </c>
      <c r="AK3" s="12" t="s">
        <v>74</v>
      </c>
      <c r="AL3" s="12" t="s">
        <v>75</v>
      </c>
      <c r="AM3" s="12" t="s">
        <v>76</v>
      </c>
      <c r="AN3" s="12" t="s">
        <v>77</v>
      </c>
      <c r="AO3" s="15" t="s">
        <v>78</v>
      </c>
    </row>
    <row r="4" spans="1:41" x14ac:dyDescent="0.35">
      <c r="A4" s="3" t="s">
        <v>100</v>
      </c>
      <c r="B4" s="4" t="s">
        <v>98</v>
      </c>
      <c r="C4" s="3" t="s">
        <v>99</v>
      </c>
      <c r="D4" s="5">
        <v>45798</v>
      </c>
      <c r="E4" s="31">
        <v>0.44930555555555557</v>
      </c>
      <c r="F4" s="6">
        <v>14.7</v>
      </c>
      <c r="G4" s="6">
        <v>15.1</v>
      </c>
      <c r="H4" s="6">
        <v>0.58499999999999996</v>
      </c>
      <c r="I4" s="6">
        <v>88</v>
      </c>
      <c r="J4" s="6">
        <v>8.69</v>
      </c>
      <c r="K4" s="6">
        <v>9.4600000000000009</v>
      </c>
      <c r="L4" s="6">
        <v>8.27</v>
      </c>
      <c r="M4" t="s">
        <v>111</v>
      </c>
      <c r="N4" t="s">
        <v>98</v>
      </c>
      <c r="O4" s="19">
        <v>100</v>
      </c>
      <c r="P4" s="19">
        <v>19</v>
      </c>
      <c r="Q4" s="19">
        <v>24</v>
      </c>
      <c r="R4" s="20">
        <v>20.833333333333336</v>
      </c>
      <c r="S4" s="20">
        <v>10</v>
      </c>
      <c r="T4" s="19">
        <v>7</v>
      </c>
      <c r="U4" s="21">
        <v>5.5439999999999996</v>
      </c>
      <c r="V4" s="20">
        <v>2</v>
      </c>
      <c r="W4" s="19">
        <v>2</v>
      </c>
      <c r="X4" s="19"/>
      <c r="Y4" s="20">
        <v>22.417761223223845</v>
      </c>
      <c r="Z4" s="20">
        <v>20.833333333333336</v>
      </c>
      <c r="AA4" s="20">
        <v>15.21479969314904</v>
      </c>
      <c r="AB4" s="20">
        <v>6.3464287919573241</v>
      </c>
      <c r="AC4" s="20">
        <v>5.1931041943253042</v>
      </c>
      <c r="AD4" s="20">
        <v>2</v>
      </c>
      <c r="AE4" s="19">
        <v>2</v>
      </c>
      <c r="AF4" s="19"/>
      <c r="AG4" s="32">
        <v>72.315358784593059</v>
      </c>
      <c r="AH4" s="32">
        <v>71.212121212121204</v>
      </c>
      <c r="AI4" s="32">
        <v>22.050434337897158</v>
      </c>
      <c r="AJ4" s="32">
        <v>57.694807199612043</v>
      </c>
      <c r="AK4" s="32">
        <v>43.62816968858035</v>
      </c>
      <c r="AL4" s="32">
        <v>25</v>
      </c>
      <c r="AM4" s="32">
        <v>25</v>
      </c>
      <c r="AN4" s="32">
        <v>45.271555888971974</v>
      </c>
      <c r="AO4" s="32" t="s">
        <v>84</v>
      </c>
    </row>
    <row r="5" spans="1:41" x14ac:dyDescent="0.35">
      <c r="A5" s="3" t="s">
        <v>38</v>
      </c>
      <c r="B5" s="4" t="s">
        <v>39</v>
      </c>
      <c r="C5" s="3" t="s">
        <v>40</v>
      </c>
      <c r="D5" s="5">
        <v>45797</v>
      </c>
      <c r="E5" s="31">
        <v>0.50277777777777777</v>
      </c>
      <c r="F5" s="6">
        <v>14.3</v>
      </c>
      <c r="G5" s="6">
        <v>16.3</v>
      </c>
      <c r="H5" s="6">
        <v>0.33029999999999998</v>
      </c>
      <c r="I5" s="6">
        <v>101.4</v>
      </c>
      <c r="J5" s="6">
        <v>9.83</v>
      </c>
      <c r="K5" s="6">
        <v>5.36</v>
      </c>
      <c r="L5" s="6">
        <v>7.77</v>
      </c>
      <c r="M5" t="s">
        <v>112</v>
      </c>
      <c r="N5" t="s">
        <v>39</v>
      </c>
      <c r="O5" s="19">
        <v>100</v>
      </c>
      <c r="P5" s="19">
        <v>50</v>
      </c>
      <c r="Q5" s="19">
        <v>24</v>
      </c>
      <c r="R5" s="20">
        <v>8.3333333333333321</v>
      </c>
      <c r="S5" s="20">
        <v>37</v>
      </c>
      <c r="T5" s="19">
        <v>5</v>
      </c>
      <c r="U5" s="21">
        <v>4.58</v>
      </c>
      <c r="V5" s="20">
        <v>2</v>
      </c>
      <c r="W5" s="19">
        <v>4</v>
      </c>
      <c r="X5" s="19"/>
      <c r="Y5" s="20">
        <v>20.664198171905795</v>
      </c>
      <c r="Z5" s="20">
        <v>8.3333333333333321</v>
      </c>
      <c r="AA5" s="20">
        <v>48.013786059837074</v>
      </c>
      <c r="AB5" s="20">
        <v>3.621975712524705</v>
      </c>
      <c r="AC5" s="20">
        <v>3.8433455360195357</v>
      </c>
      <c r="AD5" s="20">
        <v>2</v>
      </c>
      <c r="AE5" s="19">
        <v>4</v>
      </c>
      <c r="AF5" s="19"/>
      <c r="AG5" s="32">
        <v>66.658703780341284</v>
      </c>
      <c r="AH5" s="32">
        <v>93.939393939393952</v>
      </c>
      <c r="AI5" s="32">
        <v>69.585197188169673</v>
      </c>
      <c r="AJ5" s="32">
        <v>32.927051932042772</v>
      </c>
      <c r="AK5" s="32">
        <v>72.970749216966624</v>
      </c>
      <c r="AL5" s="32">
        <v>25</v>
      </c>
      <c r="AM5" s="32">
        <v>50</v>
      </c>
      <c r="AN5" s="32">
        <v>58.725870865273471</v>
      </c>
      <c r="AO5" s="32" t="s">
        <v>84</v>
      </c>
    </row>
    <row r="6" spans="1:41" x14ac:dyDescent="0.35">
      <c r="A6" s="3" t="s">
        <v>103</v>
      </c>
      <c r="B6" s="4" t="s">
        <v>101</v>
      </c>
      <c r="C6" s="3" t="s">
        <v>102</v>
      </c>
      <c r="D6" s="5">
        <v>45796</v>
      </c>
      <c r="E6" s="31">
        <v>0.42986111111111114</v>
      </c>
      <c r="F6" s="6">
        <v>18.600000000000001</v>
      </c>
      <c r="G6" s="6">
        <v>15.8</v>
      </c>
      <c r="H6" s="6">
        <v>0.64500000000000002</v>
      </c>
      <c r="I6" s="6">
        <v>99.4</v>
      </c>
      <c r="J6" s="6">
        <v>9.59</v>
      </c>
      <c r="K6" s="6">
        <v>3.02</v>
      </c>
      <c r="L6" s="6">
        <v>8.1</v>
      </c>
      <c r="M6" t="s">
        <v>114</v>
      </c>
      <c r="N6" t="s">
        <v>101</v>
      </c>
      <c r="O6" s="19">
        <v>100</v>
      </c>
      <c r="P6" s="19">
        <v>50</v>
      </c>
      <c r="Q6" s="19">
        <v>19</v>
      </c>
      <c r="R6" s="20">
        <v>26.315789473684209</v>
      </c>
      <c r="S6" s="20">
        <v>5</v>
      </c>
      <c r="T6" s="19">
        <v>1</v>
      </c>
      <c r="U6" s="21">
        <v>6.14</v>
      </c>
      <c r="V6" s="20">
        <v>2</v>
      </c>
      <c r="W6" s="19">
        <v>1</v>
      </c>
      <c r="X6" s="19"/>
      <c r="Y6" s="20">
        <v>15.664198171905795</v>
      </c>
      <c r="Z6" s="20">
        <v>26.315789473684209</v>
      </c>
      <c r="AA6" s="20">
        <v>16.013786059837066</v>
      </c>
      <c r="AB6" s="20">
        <v>-0.37802428747529593</v>
      </c>
      <c r="AC6" s="20">
        <v>5.4033455360195362</v>
      </c>
      <c r="AD6" s="20">
        <v>2</v>
      </c>
      <c r="AE6" s="19">
        <v>1</v>
      </c>
      <c r="AF6" s="19"/>
      <c r="AG6" s="32">
        <v>50.52967152227675</v>
      </c>
      <c r="AH6" s="32">
        <v>61.244019138755995</v>
      </c>
      <c r="AI6" s="32">
        <v>23.208385593966764</v>
      </c>
      <c r="AJ6" s="32">
        <v>0</v>
      </c>
      <c r="AK6" s="32">
        <v>39.057705738705742</v>
      </c>
      <c r="AL6" s="32">
        <v>25</v>
      </c>
      <c r="AM6" s="32">
        <v>12.5</v>
      </c>
      <c r="AN6" s="32">
        <v>30.219968856243607</v>
      </c>
      <c r="AO6" s="32" t="s">
        <v>80</v>
      </c>
    </row>
    <row r="7" spans="1:41" x14ac:dyDescent="0.35">
      <c r="A7" s="3" t="s">
        <v>106</v>
      </c>
      <c r="B7" s="4" t="s">
        <v>104</v>
      </c>
      <c r="C7" s="3" t="s">
        <v>105</v>
      </c>
      <c r="D7" s="5">
        <v>45796</v>
      </c>
      <c r="E7" s="31">
        <v>0.64722222222222225</v>
      </c>
      <c r="F7" s="6">
        <v>22.6</v>
      </c>
      <c r="G7" s="6">
        <v>19.8</v>
      </c>
      <c r="H7" s="6">
        <v>0.67500000000000004</v>
      </c>
      <c r="I7" s="6">
        <v>65.3</v>
      </c>
      <c r="J7" s="6">
        <v>5.81</v>
      </c>
      <c r="K7" s="6">
        <v>12.81</v>
      </c>
      <c r="L7" s="6">
        <v>7.3</v>
      </c>
      <c r="M7" t="s">
        <v>115</v>
      </c>
      <c r="N7" t="s">
        <v>104</v>
      </c>
      <c r="O7" s="19">
        <v>100</v>
      </c>
      <c r="P7" s="19">
        <v>35</v>
      </c>
      <c r="Q7" s="19">
        <v>18</v>
      </c>
      <c r="R7" s="20">
        <v>5.5555555555555554</v>
      </c>
      <c r="S7" s="20">
        <v>30</v>
      </c>
      <c r="T7" s="19">
        <v>0</v>
      </c>
      <c r="U7" s="21">
        <v>6.55</v>
      </c>
      <c r="V7" s="20">
        <v>1</v>
      </c>
      <c r="W7" s="19">
        <v>0</v>
      </c>
      <c r="X7" s="19"/>
      <c r="Y7" s="20">
        <v>15.310604050926301</v>
      </c>
      <c r="Z7" s="20">
        <v>5.5555555555555554</v>
      </c>
      <c r="AA7" s="20">
        <v>38.876139012033818</v>
      </c>
      <c r="AB7" s="20">
        <v>-1.110973308459875</v>
      </c>
      <c r="AC7" s="20">
        <v>5.9555455352864479</v>
      </c>
      <c r="AD7" s="20">
        <v>1</v>
      </c>
      <c r="AE7" s="19">
        <v>0</v>
      </c>
      <c r="AF7" s="19"/>
      <c r="AG7" s="32">
        <v>49.389045325568716</v>
      </c>
      <c r="AH7" s="32">
        <v>98.98989898989899</v>
      </c>
      <c r="AI7" s="32">
        <v>56.342230452222921</v>
      </c>
      <c r="AJ7" s="32">
        <v>0</v>
      </c>
      <c r="AK7" s="32">
        <v>27.053357928555485</v>
      </c>
      <c r="AL7" s="32">
        <v>12.5</v>
      </c>
      <c r="AM7" s="32">
        <v>0</v>
      </c>
      <c r="AN7" s="32">
        <v>34.896361813749444</v>
      </c>
      <c r="AO7" s="32" t="s">
        <v>80</v>
      </c>
    </row>
    <row r="8" spans="1:41" x14ac:dyDescent="0.35">
      <c r="A8" s="3" t="s">
        <v>41</v>
      </c>
      <c r="B8" s="4" t="s">
        <v>42</v>
      </c>
      <c r="C8" s="2" t="s">
        <v>43</v>
      </c>
      <c r="D8" s="5">
        <v>45797</v>
      </c>
      <c r="E8" s="31">
        <v>0.63402777777777775</v>
      </c>
      <c r="F8" s="6">
        <v>20</v>
      </c>
      <c r="G8" s="6">
        <v>18.7</v>
      </c>
      <c r="H8" s="6">
        <v>0.55279999999999996</v>
      </c>
      <c r="I8" s="6">
        <v>106.4</v>
      </c>
      <c r="J8" s="6">
        <v>9.81</v>
      </c>
      <c r="K8" s="6">
        <v>3.81</v>
      </c>
      <c r="L8" s="6">
        <v>7.89</v>
      </c>
      <c r="M8" s="40" t="s">
        <v>113</v>
      </c>
      <c r="N8" s="40" t="s">
        <v>42</v>
      </c>
      <c r="O8" s="41">
        <v>100</v>
      </c>
      <c r="P8" s="41">
        <v>50</v>
      </c>
      <c r="Q8" s="41">
        <v>25</v>
      </c>
      <c r="R8" s="42">
        <v>12</v>
      </c>
      <c r="S8" s="42">
        <v>28.000000000000004</v>
      </c>
      <c r="T8" s="41">
        <v>4</v>
      </c>
      <c r="U8" s="43">
        <v>5.4660000000000002</v>
      </c>
      <c r="V8" s="42">
        <v>2</v>
      </c>
      <c r="W8" s="41">
        <v>7</v>
      </c>
      <c r="X8" s="41"/>
      <c r="Y8" s="42">
        <v>21.664198171905795</v>
      </c>
      <c r="Z8" s="42">
        <v>12</v>
      </c>
      <c r="AA8" s="42">
        <v>39.013786059837074</v>
      </c>
      <c r="AB8" s="42">
        <v>2.621975712524705</v>
      </c>
      <c r="AC8" s="42">
        <v>4.7293455360195367</v>
      </c>
      <c r="AD8" s="42">
        <v>2</v>
      </c>
      <c r="AE8" s="41">
        <v>7</v>
      </c>
      <c r="AF8" s="41"/>
      <c r="AG8" s="44">
        <v>69.884510231954181</v>
      </c>
      <c r="AH8" s="44">
        <v>87.272727272727266</v>
      </c>
      <c r="AI8" s="44">
        <v>56.54171892730011</v>
      </c>
      <c r="AJ8" s="44">
        <v>23.836142841133682</v>
      </c>
      <c r="AK8" s="44">
        <v>53.709879651749212</v>
      </c>
      <c r="AL8" s="44">
        <v>25</v>
      </c>
      <c r="AM8" s="44">
        <v>87.5</v>
      </c>
      <c r="AN8" s="44">
        <v>57.6778541321235</v>
      </c>
      <c r="AO8" s="44" t="s">
        <v>84</v>
      </c>
    </row>
    <row r="9" spans="1:41" x14ac:dyDescent="0.35">
      <c r="A9" s="2" t="s">
        <v>108</v>
      </c>
      <c r="B9" s="4" t="s">
        <v>109</v>
      </c>
      <c r="C9" s="2" t="s">
        <v>110</v>
      </c>
      <c r="D9" s="35">
        <v>45806</v>
      </c>
      <c r="E9" s="31">
        <v>0.49444444444444446</v>
      </c>
      <c r="F9" s="6">
        <v>19.399999999999999</v>
      </c>
      <c r="G9" s="6">
        <v>14.9</v>
      </c>
      <c r="H9" s="6">
        <v>0.46429999999999999</v>
      </c>
      <c r="I9" s="6">
        <v>98.7</v>
      </c>
      <c r="J9" s="6">
        <v>9.81</v>
      </c>
      <c r="K9" s="6">
        <v>6.13</v>
      </c>
      <c r="L9" s="6">
        <v>8.1199999999999992</v>
      </c>
      <c r="M9" t="s">
        <v>116</v>
      </c>
      <c r="N9" t="s">
        <v>109</v>
      </c>
      <c r="O9" s="19">
        <v>100</v>
      </c>
      <c r="P9" s="19">
        <v>22</v>
      </c>
      <c r="Q9" s="19">
        <v>29</v>
      </c>
      <c r="R9" s="20">
        <v>17.241379310344829</v>
      </c>
      <c r="S9" s="20">
        <v>15</v>
      </c>
      <c r="T9" s="19">
        <v>4</v>
      </c>
      <c r="U9" s="21">
        <v>5.3779999999999992</v>
      </c>
      <c r="V9" s="20">
        <v>3</v>
      </c>
      <c r="W9" s="19">
        <v>4</v>
      </c>
      <c r="X9" s="19"/>
      <c r="Y9" s="20">
        <v>27.152070152928935</v>
      </c>
      <c r="Z9" s="20">
        <v>17.241379310344829</v>
      </c>
      <c r="AA9" s="20">
        <v>21.093432995346451</v>
      </c>
      <c r="AB9" s="20">
        <v>3.2366632982625179</v>
      </c>
      <c r="AC9" s="20">
        <v>4.9686559790052147</v>
      </c>
      <c r="AD9" s="20">
        <v>3</v>
      </c>
      <c r="AE9" s="19">
        <v>4</v>
      </c>
      <c r="AF9" s="19"/>
      <c r="AG9" s="32">
        <v>87.587323073964313</v>
      </c>
      <c r="AH9" s="32">
        <v>77.742946708463947</v>
      </c>
      <c r="AI9" s="32">
        <v>30.570192746878917</v>
      </c>
      <c r="AJ9" s="32">
        <v>29.424211802386523</v>
      </c>
      <c r="AK9" s="32">
        <v>48.507478717277948</v>
      </c>
      <c r="AL9" s="32">
        <v>37.5</v>
      </c>
      <c r="AM9" s="32">
        <v>50</v>
      </c>
      <c r="AN9" s="32">
        <v>51.618879006995947</v>
      </c>
      <c r="AO9" s="32" t="s">
        <v>84</v>
      </c>
    </row>
    <row r="10" spans="1:41" x14ac:dyDescent="0.35">
      <c r="A10" s="3" t="s">
        <v>45</v>
      </c>
      <c r="B10" s="4" t="s">
        <v>46</v>
      </c>
      <c r="C10" s="3" t="s">
        <v>47</v>
      </c>
      <c r="D10" s="34">
        <v>45805</v>
      </c>
      <c r="E10" s="36">
        <v>0.60486111111111107</v>
      </c>
      <c r="F10" s="28">
        <v>17</v>
      </c>
      <c r="G10" s="28">
        <v>15.6</v>
      </c>
      <c r="H10" s="28">
        <v>0.3397</v>
      </c>
      <c r="I10" s="28">
        <v>102.2</v>
      </c>
      <c r="J10" s="28">
        <v>10.17</v>
      </c>
      <c r="K10" s="28">
        <v>5.7</v>
      </c>
      <c r="L10" s="28">
        <v>8.6</v>
      </c>
      <c r="M10" t="s">
        <v>118</v>
      </c>
      <c r="N10" t="s">
        <v>46</v>
      </c>
      <c r="O10" s="19">
        <v>100</v>
      </c>
      <c r="P10" s="19">
        <v>50</v>
      </c>
      <c r="Q10" s="19">
        <v>18</v>
      </c>
      <c r="R10" s="20">
        <v>27.777777777777779</v>
      </c>
      <c r="S10" s="20">
        <v>11</v>
      </c>
      <c r="T10" s="19">
        <v>6</v>
      </c>
      <c r="U10" s="21">
        <v>5.5259999999999998</v>
      </c>
      <c r="V10" s="20">
        <v>2</v>
      </c>
      <c r="W10" s="19">
        <v>3</v>
      </c>
      <c r="X10" s="19"/>
      <c r="Y10" s="20">
        <v>14.664198171905795</v>
      </c>
      <c r="Z10" s="20">
        <v>27.777777777777779</v>
      </c>
      <c r="AA10" s="20">
        <v>22.013786059837066</v>
      </c>
      <c r="AB10" s="20">
        <v>4.621975712524705</v>
      </c>
      <c r="AC10" s="20">
        <v>4.7893455360195354</v>
      </c>
      <c r="AD10" s="20">
        <v>2</v>
      </c>
      <c r="AE10" s="19">
        <v>3</v>
      </c>
      <c r="AF10" s="19"/>
      <c r="AG10" s="32">
        <v>47.303865070663853</v>
      </c>
      <c r="AH10" s="32">
        <v>58.585858585858588</v>
      </c>
      <c r="AI10" s="32">
        <v>31.904037767879807</v>
      </c>
      <c r="AJ10" s="32">
        <v>42.017961022951859</v>
      </c>
      <c r="AK10" s="32">
        <v>52.40553182566228</v>
      </c>
      <c r="AL10" s="32">
        <v>25</v>
      </c>
      <c r="AM10" s="32">
        <v>37.5</v>
      </c>
      <c r="AN10" s="32">
        <v>42.102464896145193</v>
      </c>
      <c r="AO10" s="32" t="s">
        <v>84</v>
      </c>
    </row>
    <row r="11" spans="1:41" x14ac:dyDescent="0.35">
      <c r="A11" s="3" t="s">
        <v>48</v>
      </c>
      <c r="B11" s="4" t="s">
        <v>49</v>
      </c>
      <c r="C11" s="3" t="s">
        <v>50</v>
      </c>
      <c r="D11" s="35">
        <v>45804</v>
      </c>
      <c r="E11" s="31">
        <v>0.58958333333333335</v>
      </c>
      <c r="F11" s="6">
        <v>22.9</v>
      </c>
      <c r="G11" s="6">
        <v>16</v>
      </c>
      <c r="H11" s="6">
        <v>0.3387</v>
      </c>
      <c r="I11" s="6">
        <v>113.1</v>
      </c>
      <c r="J11" s="6">
        <v>11.19</v>
      </c>
      <c r="K11" s="6">
        <v>5.22</v>
      </c>
      <c r="L11" s="6">
        <v>8.4</v>
      </c>
      <c r="M11" t="s">
        <v>119</v>
      </c>
      <c r="N11" t="s">
        <v>49</v>
      </c>
      <c r="O11" s="19">
        <v>100</v>
      </c>
      <c r="P11" s="19">
        <v>51</v>
      </c>
      <c r="Q11" s="19">
        <v>17</v>
      </c>
      <c r="R11" s="20">
        <v>23.52941176470588</v>
      </c>
      <c r="S11" s="20">
        <v>15</v>
      </c>
      <c r="T11" s="19">
        <v>5</v>
      </c>
      <c r="U11" s="21">
        <v>5.6329999999999991</v>
      </c>
      <c r="V11" s="20">
        <v>1</v>
      </c>
      <c r="W11" s="19">
        <v>3</v>
      </c>
      <c r="X11" s="19"/>
      <c r="Y11" s="20">
        <v>13.628309655143312</v>
      </c>
      <c r="Z11" s="20">
        <v>23.52941176470588</v>
      </c>
      <c r="AA11" s="20">
        <v>26.132468430151526</v>
      </c>
      <c r="AB11" s="20">
        <v>3.6071490164071598</v>
      </c>
      <c r="AC11" s="20">
        <v>4.888450578342094</v>
      </c>
      <c r="AD11" s="20">
        <v>1</v>
      </c>
      <c r="AE11" s="19">
        <v>3</v>
      </c>
      <c r="AF11" s="19"/>
      <c r="AG11" s="32">
        <v>43.962289210139716</v>
      </c>
      <c r="AH11" s="32">
        <v>66.310160427807489</v>
      </c>
      <c r="AI11" s="32">
        <v>37.873142652393518</v>
      </c>
      <c r="AJ11" s="32">
        <v>32.79226378551963</v>
      </c>
      <c r="AK11" s="32">
        <v>50.251074383867532</v>
      </c>
      <c r="AL11" s="32">
        <v>12.5</v>
      </c>
      <c r="AM11" s="32">
        <v>37.5</v>
      </c>
      <c r="AN11" s="32">
        <v>40.169847208532552</v>
      </c>
      <c r="AO11" s="32" t="s">
        <v>80</v>
      </c>
    </row>
    <row r="12" spans="1:41" x14ac:dyDescent="0.35">
      <c r="A12" s="3" t="s">
        <v>51</v>
      </c>
      <c r="B12" s="4" t="s">
        <v>52</v>
      </c>
      <c r="C12" s="16" t="s">
        <v>53</v>
      </c>
      <c r="D12" s="34">
        <v>45805</v>
      </c>
      <c r="E12" s="31">
        <v>0.42708333333333331</v>
      </c>
      <c r="F12" s="28">
        <v>18</v>
      </c>
      <c r="G12" s="6">
        <v>15.7</v>
      </c>
      <c r="H12" s="6">
        <v>0.3427</v>
      </c>
      <c r="I12" s="6">
        <v>15.7</v>
      </c>
      <c r="J12" s="6">
        <v>101.1</v>
      </c>
      <c r="K12" s="6">
        <v>10.06</v>
      </c>
      <c r="L12" s="6">
        <v>8.5</v>
      </c>
      <c r="M12" t="s">
        <v>120</v>
      </c>
      <c r="N12" t="s">
        <v>52</v>
      </c>
      <c r="O12" s="19">
        <v>100</v>
      </c>
      <c r="P12" s="19">
        <v>51</v>
      </c>
      <c r="Q12" s="19">
        <v>20</v>
      </c>
      <c r="R12" s="20">
        <v>15</v>
      </c>
      <c r="S12" s="20">
        <v>22</v>
      </c>
      <c r="T12" s="19">
        <v>6</v>
      </c>
      <c r="U12" s="21">
        <v>5.18</v>
      </c>
      <c r="V12" s="20">
        <v>2</v>
      </c>
      <c r="W12" s="19">
        <v>5</v>
      </c>
      <c r="X12" s="19"/>
      <c r="Y12" s="20">
        <v>16.628309655143312</v>
      </c>
      <c r="Z12" s="20">
        <v>15</v>
      </c>
      <c r="AA12" s="20">
        <v>33.132468430151526</v>
      </c>
      <c r="AB12" s="20">
        <v>4.6071490164071598</v>
      </c>
      <c r="AC12" s="20">
        <v>4.4354505783420946</v>
      </c>
      <c r="AD12" s="20">
        <v>2</v>
      </c>
      <c r="AE12" s="19">
        <v>5</v>
      </c>
      <c r="AF12" s="19"/>
      <c r="AG12" s="32">
        <v>53.639708564978427</v>
      </c>
      <c r="AH12" s="32">
        <v>81.818181818181813</v>
      </c>
      <c r="AI12" s="32">
        <v>48.018070188625401</v>
      </c>
      <c r="AJ12" s="32">
        <v>41.883172876428723</v>
      </c>
      <c r="AK12" s="32">
        <v>60.098900470824042</v>
      </c>
      <c r="AL12" s="32">
        <v>25</v>
      </c>
      <c r="AM12" s="32">
        <v>62.5</v>
      </c>
      <c r="AN12" s="32">
        <v>53.279719131291202</v>
      </c>
      <c r="AO12" s="32" t="s">
        <v>84</v>
      </c>
    </row>
    <row r="13" spans="1:41" x14ac:dyDescent="0.35">
      <c r="A13" s="3" t="s">
        <v>35</v>
      </c>
      <c r="B13" s="4" t="s">
        <v>36</v>
      </c>
      <c r="C13" s="3" t="s">
        <v>37</v>
      </c>
      <c r="D13" s="34">
        <v>45806</v>
      </c>
      <c r="E13" s="6">
        <v>15.11</v>
      </c>
      <c r="F13" s="6">
        <v>20.5</v>
      </c>
      <c r="G13" s="6">
        <v>17.600000000000001</v>
      </c>
      <c r="H13" s="6">
        <v>0.36459999999999998</v>
      </c>
      <c r="I13" s="6">
        <v>131.4</v>
      </c>
      <c r="J13" s="6">
        <v>12.38</v>
      </c>
      <c r="K13" s="6">
        <v>3.38</v>
      </c>
      <c r="L13" s="6">
        <v>8.8000000000000007</v>
      </c>
      <c r="M13" t="s">
        <v>117</v>
      </c>
      <c r="N13" t="s">
        <v>36</v>
      </c>
      <c r="O13" s="19">
        <v>100</v>
      </c>
      <c r="P13" s="19">
        <v>50</v>
      </c>
      <c r="Q13" s="19">
        <v>29</v>
      </c>
      <c r="R13" s="20">
        <v>13.793103448275861</v>
      </c>
      <c r="S13" s="20">
        <v>21</v>
      </c>
      <c r="T13" s="19">
        <v>8</v>
      </c>
      <c r="U13" s="21">
        <v>4.78</v>
      </c>
      <c r="V13" s="20">
        <v>3</v>
      </c>
      <c r="W13" s="19">
        <v>5</v>
      </c>
      <c r="X13" s="19"/>
      <c r="Y13" s="20">
        <v>25.664198171905795</v>
      </c>
      <c r="Z13" s="20">
        <v>13.793103448275861</v>
      </c>
      <c r="AA13" s="20">
        <v>32.013786059837066</v>
      </c>
      <c r="AB13" s="20">
        <v>6.621975712524705</v>
      </c>
      <c r="AC13" s="20">
        <v>4.0433455360195367</v>
      </c>
      <c r="AD13" s="20">
        <v>3</v>
      </c>
      <c r="AE13" s="19">
        <v>5</v>
      </c>
      <c r="AF13" s="19"/>
      <c r="AG13" s="32">
        <v>82.787736038405797</v>
      </c>
      <c r="AH13" s="32">
        <v>84.012539184952985</v>
      </c>
      <c r="AI13" s="32">
        <v>46.396791391068213</v>
      </c>
      <c r="AJ13" s="32">
        <v>60.199779204770046</v>
      </c>
      <c r="AK13" s="32">
        <v>68.622923130010079</v>
      </c>
      <c r="AL13" s="32">
        <v>37.5</v>
      </c>
      <c r="AM13" s="32">
        <v>62.5</v>
      </c>
      <c r="AN13" s="32">
        <v>63.145681278458156</v>
      </c>
      <c r="AO13" s="32" t="s">
        <v>82</v>
      </c>
    </row>
    <row r="14" spans="1:41" x14ac:dyDescent="0.35">
      <c r="A14" s="3" t="s">
        <v>48</v>
      </c>
      <c r="B14" s="4" t="s">
        <v>49</v>
      </c>
      <c r="C14" s="3" t="s">
        <v>50</v>
      </c>
      <c r="D14" s="35">
        <v>45804</v>
      </c>
      <c r="E14" s="31">
        <v>0.58958333333333335</v>
      </c>
      <c r="F14" s="6">
        <v>22.9</v>
      </c>
      <c r="G14" s="6">
        <v>16</v>
      </c>
      <c r="H14" s="6">
        <v>0.3387</v>
      </c>
      <c r="I14" s="6">
        <v>113.1</v>
      </c>
      <c r="J14" s="6">
        <v>11.19</v>
      </c>
      <c r="K14" s="6">
        <v>5.22</v>
      </c>
      <c r="L14" s="6">
        <v>8.4</v>
      </c>
      <c r="M14" t="s">
        <v>121</v>
      </c>
      <c r="N14" t="s">
        <v>122</v>
      </c>
      <c r="O14" s="19">
        <v>100</v>
      </c>
      <c r="P14" s="19">
        <v>51</v>
      </c>
      <c r="Q14" s="19">
        <v>20</v>
      </c>
      <c r="R14" s="20">
        <v>25</v>
      </c>
      <c r="S14" s="20">
        <v>5</v>
      </c>
      <c r="T14" s="19">
        <v>7</v>
      </c>
      <c r="U14" s="21">
        <v>5.9790000000000001</v>
      </c>
      <c r="V14" s="20">
        <v>0</v>
      </c>
      <c r="W14" s="19">
        <v>2</v>
      </c>
      <c r="X14" s="19"/>
      <c r="Y14" s="20">
        <v>16.628309655143312</v>
      </c>
      <c r="Z14" s="20">
        <v>25</v>
      </c>
      <c r="AA14" s="20">
        <v>16.132468430151526</v>
      </c>
      <c r="AB14" s="20">
        <v>5.6071490164071598</v>
      </c>
      <c r="AC14" s="20">
        <v>5.234450578342094</v>
      </c>
      <c r="AD14" s="20">
        <v>0</v>
      </c>
      <c r="AE14" s="19">
        <v>2</v>
      </c>
      <c r="AF14" s="19"/>
      <c r="AG14" s="32">
        <v>53.639708564978427</v>
      </c>
      <c r="AH14" s="32">
        <v>63.636363636363633</v>
      </c>
      <c r="AI14" s="32">
        <v>23.380389029205109</v>
      </c>
      <c r="AJ14" s="32">
        <v>50.974081967337817</v>
      </c>
      <c r="AK14" s="32">
        <v>42.729335253432744</v>
      </c>
      <c r="AL14" s="32">
        <v>0</v>
      </c>
      <c r="AM14" s="32">
        <v>25</v>
      </c>
      <c r="AN14" s="32">
        <v>37.051411207331107</v>
      </c>
      <c r="AO14" s="32" t="s">
        <v>80</v>
      </c>
    </row>
    <row r="15" spans="1:41" x14ac:dyDescent="0.35">
      <c r="A15" s="3" t="s">
        <v>41</v>
      </c>
      <c r="B15" s="4" t="s">
        <v>42</v>
      </c>
      <c r="C15" s="2" t="s">
        <v>43</v>
      </c>
      <c r="D15" s="5">
        <v>45797</v>
      </c>
      <c r="E15" s="31">
        <v>0.63402777777777775</v>
      </c>
      <c r="F15" s="6">
        <v>20</v>
      </c>
      <c r="G15" s="6">
        <v>18.7</v>
      </c>
      <c r="H15" s="6">
        <v>0.55279999999999996</v>
      </c>
      <c r="I15" s="6">
        <v>106.4</v>
      </c>
      <c r="J15" s="6">
        <v>9.81</v>
      </c>
      <c r="K15" s="6">
        <v>3.81</v>
      </c>
      <c r="L15" s="6">
        <v>7.89</v>
      </c>
      <c r="M15" s="40" t="s">
        <v>123</v>
      </c>
      <c r="N15" s="40" t="s">
        <v>124</v>
      </c>
      <c r="O15" s="41">
        <v>100</v>
      </c>
      <c r="P15" s="41">
        <v>50</v>
      </c>
      <c r="Q15" s="41">
        <v>25</v>
      </c>
      <c r="R15" s="42">
        <v>16</v>
      </c>
      <c r="S15" s="42">
        <v>42</v>
      </c>
      <c r="T15" s="41">
        <v>8</v>
      </c>
      <c r="U15" s="43">
        <v>4.91</v>
      </c>
      <c r="V15" s="42">
        <v>2</v>
      </c>
      <c r="W15" s="41">
        <v>6</v>
      </c>
      <c r="X15" s="41"/>
      <c r="Y15" s="42">
        <v>21.664198171905795</v>
      </c>
      <c r="Z15" s="42">
        <v>16</v>
      </c>
      <c r="AA15" s="42">
        <v>53.013786059837074</v>
      </c>
      <c r="AB15" s="42">
        <v>6.621975712524705</v>
      </c>
      <c r="AC15" s="42">
        <v>4.1733455360195357</v>
      </c>
      <c r="AD15" s="42">
        <v>2</v>
      </c>
      <c r="AE15" s="41">
        <v>6</v>
      </c>
      <c r="AF15" s="41"/>
      <c r="AG15" s="44">
        <v>69.884510231954181</v>
      </c>
      <c r="AH15" s="44">
        <v>80</v>
      </c>
      <c r="AI15" s="44">
        <v>76.831573999763876</v>
      </c>
      <c r="AJ15" s="44">
        <v>60.199779204770046</v>
      </c>
      <c r="AK15" s="44">
        <v>65.796836173488373</v>
      </c>
      <c r="AL15" s="44">
        <v>25</v>
      </c>
      <c r="AM15" s="44">
        <v>75</v>
      </c>
      <c r="AN15" s="44">
        <v>64.673242801425218</v>
      </c>
      <c r="AO15" s="44" t="s">
        <v>82</v>
      </c>
    </row>
    <row r="16" spans="1:41" x14ac:dyDescent="0.35">
      <c r="O16" s="19"/>
      <c r="P16" s="19"/>
      <c r="Q16" s="19"/>
      <c r="R16" s="20"/>
      <c r="S16" s="20"/>
      <c r="T16" s="19"/>
      <c r="U16" s="21"/>
      <c r="V16" s="20"/>
      <c r="W16" s="19"/>
    </row>
    <row r="17" spans="15:23" x14ac:dyDescent="0.35">
      <c r="O17" s="19"/>
      <c r="P17" s="19"/>
      <c r="Q17" s="19"/>
      <c r="R17" s="20"/>
      <c r="S17" s="20"/>
      <c r="T17" s="19"/>
      <c r="U17" s="21"/>
      <c r="V17" s="20"/>
      <c r="W17" s="19"/>
    </row>
    <row r="18" spans="15:23" x14ac:dyDescent="0.35">
      <c r="O18" s="19"/>
      <c r="P18" s="19"/>
      <c r="Q18" s="19"/>
      <c r="R18" s="20"/>
      <c r="S18" s="20"/>
      <c r="T18" s="19"/>
      <c r="U18" s="21"/>
      <c r="V18" s="20"/>
      <c r="W18" s="19"/>
    </row>
    <row r="19" spans="15:23" x14ac:dyDescent="0.35">
      <c r="O19" s="19"/>
      <c r="P19" s="19"/>
      <c r="Q19" s="19"/>
      <c r="R19" s="20"/>
      <c r="S19" s="20"/>
      <c r="T19" s="19"/>
      <c r="U19" s="21"/>
      <c r="V19" s="20"/>
      <c r="W19" s="19"/>
    </row>
    <row r="20" spans="15:23" x14ac:dyDescent="0.35">
      <c r="O20" s="19"/>
      <c r="P20" s="19"/>
      <c r="Q20" s="19"/>
      <c r="R20" s="20"/>
      <c r="S20" s="20"/>
      <c r="T20" s="19"/>
      <c r="U20" s="21"/>
      <c r="V20" s="20"/>
      <c r="W20" s="19"/>
    </row>
    <row r="21" spans="15:23" x14ac:dyDescent="0.35">
      <c r="O21" s="19"/>
      <c r="P21" s="19"/>
      <c r="Q21" s="19"/>
      <c r="R21" s="20"/>
      <c r="S21" s="20"/>
      <c r="T21" s="19"/>
      <c r="U21" s="21"/>
      <c r="V21" s="20"/>
      <c r="W21" s="19"/>
    </row>
    <row r="22" spans="15:23" x14ac:dyDescent="0.35">
      <c r="O22" s="19"/>
      <c r="P22" s="19"/>
      <c r="Q22" s="19"/>
      <c r="R22" s="20"/>
      <c r="S22" s="20"/>
      <c r="T22" s="19"/>
      <c r="U22" s="21"/>
      <c r="V22" s="20"/>
      <c r="W22" s="19"/>
    </row>
    <row r="23" spans="15:23" x14ac:dyDescent="0.35">
      <c r="O23" s="19"/>
      <c r="P23" s="19"/>
      <c r="Q23" s="19"/>
      <c r="R23" s="20"/>
      <c r="S23" s="20"/>
      <c r="T23" s="19"/>
      <c r="U23" s="21"/>
      <c r="V23" s="20"/>
      <c r="W23" s="19"/>
    </row>
    <row r="24" spans="15:23" x14ac:dyDescent="0.35">
      <c r="O24" s="19"/>
      <c r="P24" s="19"/>
      <c r="Q24" s="19"/>
      <c r="R24" s="20"/>
      <c r="S24" s="20"/>
      <c r="T24" s="19"/>
      <c r="U24" s="21"/>
      <c r="V24" s="20"/>
      <c r="W24" s="19"/>
    </row>
    <row r="25" spans="15:23" x14ac:dyDescent="0.35">
      <c r="O25" s="19"/>
      <c r="P25" s="19"/>
      <c r="Q25" s="19"/>
      <c r="R25" s="20"/>
      <c r="S25" s="20"/>
      <c r="T25" s="19"/>
      <c r="U25" s="21"/>
      <c r="V25" s="20"/>
      <c r="W25" s="19"/>
    </row>
  </sheetData>
  <mergeCells count="3">
    <mergeCell ref="Q1:W1"/>
    <mergeCell ref="Y1:AE1"/>
    <mergeCell ref="AG1:AN1"/>
  </mergeCells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BEF6-CCF7-48DF-91E5-C136BE85E97D}">
  <dimension ref="A1:K21"/>
  <sheetViews>
    <sheetView topLeftCell="A7" workbookViewId="0">
      <selection activeCell="I19" sqref="I19"/>
    </sheetView>
  </sheetViews>
  <sheetFormatPr defaultRowHeight="14.5" x14ac:dyDescent="0.35"/>
  <cols>
    <col min="1" max="1" width="18.453125" customWidth="1"/>
    <col min="2" max="2" width="11" bestFit="1" customWidth="1"/>
    <col min="4" max="4" width="16.81640625" customWidth="1"/>
    <col min="5" max="5" width="14.54296875" customWidth="1"/>
    <col min="6" max="6" width="14.453125" customWidth="1"/>
    <col min="7" max="7" width="12.26953125" customWidth="1"/>
  </cols>
  <sheetData>
    <row r="1" spans="1:11" x14ac:dyDescent="0.35">
      <c r="A1" s="22" t="s">
        <v>0</v>
      </c>
      <c r="B1" s="22" t="s">
        <v>1</v>
      </c>
      <c r="C1" s="22" t="s">
        <v>2</v>
      </c>
      <c r="D1" s="22" t="s">
        <v>92</v>
      </c>
      <c r="E1" s="22" t="s">
        <v>93</v>
      </c>
      <c r="F1" s="22" t="s">
        <v>94</v>
      </c>
      <c r="G1" s="23" t="s">
        <v>95</v>
      </c>
    </row>
    <row r="2" spans="1:11" x14ac:dyDescent="0.35">
      <c r="A2" s="3" t="s">
        <v>21</v>
      </c>
      <c r="B2" s="4" t="s">
        <v>22</v>
      </c>
      <c r="C2" s="3" t="s">
        <v>23</v>
      </c>
      <c r="D2" s="3" t="s">
        <v>96</v>
      </c>
      <c r="E2" s="26">
        <v>41.105615999999998</v>
      </c>
      <c r="F2" s="26">
        <v>-74.682316</v>
      </c>
      <c r="G2" s="27">
        <v>2024</v>
      </c>
    </row>
    <row r="3" spans="1:11" x14ac:dyDescent="0.35">
      <c r="A3" s="3" t="s">
        <v>26</v>
      </c>
      <c r="B3" s="4" t="s">
        <v>27</v>
      </c>
      <c r="C3" s="3" t="s">
        <v>28</v>
      </c>
      <c r="D3" s="3" t="s">
        <v>96</v>
      </c>
      <c r="E3" s="26">
        <v>41.140467999999998</v>
      </c>
      <c r="F3" s="26">
        <v>-74.765568000000002</v>
      </c>
      <c r="G3" s="27">
        <v>2024</v>
      </c>
    </row>
    <row r="4" spans="1:11" x14ac:dyDescent="0.35">
      <c r="A4" s="3" t="s">
        <v>29</v>
      </c>
      <c r="B4" s="4" t="s">
        <v>30</v>
      </c>
      <c r="C4" s="3" t="s">
        <v>31</v>
      </c>
      <c r="D4" s="3" t="s">
        <v>96</v>
      </c>
      <c r="E4" s="26">
        <v>41.052621000000002</v>
      </c>
      <c r="F4" s="26">
        <v>-74.828954999999993</v>
      </c>
      <c r="G4" s="27">
        <v>2024</v>
      </c>
      <c r="K4" t="s">
        <v>97</v>
      </c>
    </row>
    <row r="5" spans="1:11" x14ac:dyDescent="0.35">
      <c r="A5" s="3" t="s">
        <v>32</v>
      </c>
      <c r="B5" s="4" t="s">
        <v>33</v>
      </c>
      <c r="C5" s="3" t="s">
        <v>34</v>
      </c>
      <c r="D5" s="3" t="s">
        <v>96</v>
      </c>
      <c r="E5" s="26">
        <v>41.006664000000001</v>
      </c>
      <c r="F5" s="26">
        <v>-74.943748999999997</v>
      </c>
      <c r="G5" s="27">
        <v>2024</v>
      </c>
    </row>
    <row r="6" spans="1:11" x14ac:dyDescent="0.35">
      <c r="A6" s="2" t="s">
        <v>35</v>
      </c>
      <c r="B6" s="4" t="s">
        <v>36</v>
      </c>
      <c r="C6" s="2" t="s">
        <v>37</v>
      </c>
      <c r="D6" s="3" t="s">
        <v>96</v>
      </c>
      <c r="E6" s="26">
        <v>41.018949999999997</v>
      </c>
      <c r="F6" s="26">
        <v>-74.888869999999997</v>
      </c>
      <c r="G6" s="27">
        <v>2024</v>
      </c>
    </row>
    <row r="7" spans="1:11" x14ac:dyDescent="0.35">
      <c r="A7" s="2" t="s">
        <v>38</v>
      </c>
      <c r="B7" s="4" t="s">
        <v>39</v>
      </c>
      <c r="C7" s="2" t="s">
        <v>40</v>
      </c>
      <c r="D7" s="3" t="s">
        <v>96</v>
      </c>
      <c r="E7" s="26">
        <v>40.980091999999999</v>
      </c>
      <c r="F7" s="26">
        <v>-74.932935999999998</v>
      </c>
      <c r="G7" s="27">
        <v>2024</v>
      </c>
    </row>
    <row r="8" spans="1:11" x14ac:dyDescent="0.35">
      <c r="A8" s="3" t="s">
        <v>41</v>
      </c>
      <c r="B8" s="4" t="s">
        <v>42</v>
      </c>
      <c r="C8" s="3" t="s">
        <v>43</v>
      </c>
      <c r="D8" s="3" t="s">
        <v>96</v>
      </c>
      <c r="E8" s="26">
        <v>40.977939999999997</v>
      </c>
      <c r="F8" s="26">
        <v>-74.945673999999997</v>
      </c>
      <c r="G8" s="27">
        <v>2024</v>
      </c>
    </row>
    <row r="9" spans="1:11" x14ac:dyDescent="0.35">
      <c r="A9" s="2" t="s">
        <v>45</v>
      </c>
      <c r="B9" s="4" t="s">
        <v>46</v>
      </c>
      <c r="C9" s="3" t="s">
        <v>47</v>
      </c>
      <c r="D9" s="3" t="s">
        <v>96</v>
      </c>
      <c r="E9" s="26">
        <v>40.947913</v>
      </c>
      <c r="F9" s="26">
        <v>-75.061593999999999</v>
      </c>
      <c r="G9" s="27">
        <v>2024</v>
      </c>
    </row>
    <row r="10" spans="1:11" x14ac:dyDescent="0.35">
      <c r="A10" s="2" t="s">
        <v>48</v>
      </c>
      <c r="B10" s="4" t="s">
        <v>49</v>
      </c>
      <c r="C10" s="16" t="s">
        <v>50</v>
      </c>
      <c r="D10" s="3" t="s">
        <v>96</v>
      </c>
      <c r="E10" s="24">
        <v>40.921030000000002</v>
      </c>
      <c r="F10" s="24">
        <v>-75.088260000000005</v>
      </c>
      <c r="G10" s="27">
        <v>2024</v>
      </c>
    </row>
    <row r="11" spans="1:11" x14ac:dyDescent="0.35">
      <c r="A11" s="3" t="s">
        <v>51</v>
      </c>
      <c r="B11" s="4" t="s">
        <v>52</v>
      </c>
      <c r="C11" s="3" t="s">
        <v>53</v>
      </c>
      <c r="D11" s="3" t="s">
        <v>96</v>
      </c>
      <c r="E11" s="25">
        <v>40.927529999999997</v>
      </c>
      <c r="F11" s="24">
        <v>-75.083650000000006</v>
      </c>
      <c r="G11" s="27">
        <v>2024</v>
      </c>
    </row>
    <row r="12" spans="1:11" x14ac:dyDescent="0.35">
      <c r="A12" s="3" t="s">
        <v>100</v>
      </c>
      <c r="B12" s="4" t="s">
        <v>98</v>
      </c>
      <c r="C12" s="3" t="s">
        <v>99</v>
      </c>
      <c r="D12" s="3" t="s">
        <v>96</v>
      </c>
      <c r="E12" s="2">
        <v>41.126013999999998</v>
      </c>
      <c r="F12" s="2">
        <v>-74.726898000000006</v>
      </c>
      <c r="G12" s="27">
        <v>2025</v>
      </c>
    </row>
    <row r="13" spans="1:11" x14ac:dyDescent="0.35">
      <c r="A13" s="3" t="s">
        <v>38</v>
      </c>
      <c r="B13" s="4" t="s">
        <v>39</v>
      </c>
      <c r="C13" s="3" t="s">
        <v>40</v>
      </c>
      <c r="D13" s="3" t="s">
        <v>96</v>
      </c>
      <c r="E13" s="2">
        <v>40.980091999999999</v>
      </c>
      <c r="F13" s="2">
        <v>-74.932935999999998</v>
      </c>
      <c r="G13" s="27">
        <v>2025</v>
      </c>
    </row>
    <row r="14" spans="1:11" x14ac:dyDescent="0.35">
      <c r="A14" s="3" t="s">
        <v>103</v>
      </c>
      <c r="B14" s="4" t="s">
        <v>101</v>
      </c>
      <c r="C14" s="3" t="s">
        <v>102</v>
      </c>
      <c r="D14" s="3" t="s">
        <v>96</v>
      </c>
      <c r="E14" s="2">
        <v>41.076469000000003</v>
      </c>
      <c r="F14" s="2">
        <v>-74.695217999999997</v>
      </c>
      <c r="G14" s="27">
        <v>2025</v>
      </c>
    </row>
    <row r="15" spans="1:11" x14ac:dyDescent="0.35">
      <c r="A15" s="3" t="s">
        <v>106</v>
      </c>
      <c r="B15" s="4" t="s">
        <v>104</v>
      </c>
      <c r="C15" s="3" t="s">
        <v>105</v>
      </c>
      <c r="D15" s="3" t="s">
        <v>96</v>
      </c>
      <c r="E15" s="2">
        <v>41.085521999999997</v>
      </c>
      <c r="F15" s="2">
        <v>-74.699489</v>
      </c>
      <c r="G15" s="27">
        <v>2025</v>
      </c>
    </row>
    <row r="16" spans="1:11" x14ac:dyDescent="0.35">
      <c r="A16" s="3" t="s">
        <v>41</v>
      </c>
      <c r="B16" s="4" t="s">
        <v>42</v>
      </c>
      <c r="C16" s="2" t="s">
        <v>43</v>
      </c>
      <c r="D16" s="3" t="s">
        <v>96</v>
      </c>
      <c r="E16" s="2">
        <v>40.977939999999997</v>
      </c>
      <c r="F16" s="2">
        <v>-74.945673999999997</v>
      </c>
      <c r="G16" s="27">
        <v>2025</v>
      </c>
    </row>
    <row r="17" spans="1:7" x14ac:dyDescent="0.35">
      <c r="A17" s="2" t="s">
        <v>108</v>
      </c>
      <c r="B17" s="4" t="s">
        <v>109</v>
      </c>
      <c r="C17" s="2" t="s">
        <v>110</v>
      </c>
      <c r="D17" s="3" t="s">
        <v>96</v>
      </c>
      <c r="E17" s="26">
        <v>41.117955000000002</v>
      </c>
      <c r="F17" s="26">
        <v>-74.746981000000005</v>
      </c>
      <c r="G17" s="27">
        <v>2025</v>
      </c>
    </row>
    <row r="18" spans="1:7" x14ac:dyDescent="0.35">
      <c r="A18" s="3" t="s">
        <v>45</v>
      </c>
      <c r="B18" s="4" t="s">
        <v>46</v>
      </c>
      <c r="C18" s="3" t="s">
        <v>47</v>
      </c>
      <c r="D18" s="3" t="s">
        <v>96</v>
      </c>
      <c r="E18" s="26">
        <v>40.947913</v>
      </c>
      <c r="F18" s="26">
        <v>-75.061593999999999</v>
      </c>
      <c r="G18" s="27">
        <v>2025</v>
      </c>
    </row>
    <row r="19" spans="1:7" x14ac:dyDescent="0.35">
      <c r="A19" s="3" t="s">
        <v>48</v>
      </c>
      <c r="B19" s="4" t="s">
        <v>49</v>
      </c>
      <c r="C19" s="3" t="s">
        <v>50</v>
      </c>
      <c r="D19" s="3" t="s">
        <v>96</v>
      </c>
      <c r="E19" s="26">
        <v>40.921030000000002</v>
      </c>
      <c r="F19" s="26">
        <v>-75.088262</v>
      </c>
      <c r="G19" s="27">
        <v>2025</v>
      </c>
    </row>
    <row r="20" spans="1:7" x14ac:dyDescent="0.35">
      <c r="A20" s="3" t="s">
        <v>51</v>
      </c>
      <c r="B20" s="4" t="s">
        <v>52</v>
      </c>
      <c r="C20" s="16" t="s">
        <v>53</v>
      </c>
      <c r="D20" s="3" t="s">
        <v>96</v>
      </c>
      <c r="E20" s="24">
        <v>40.927529999999997</v>
      </c>
      <c r="F20" s="24">
        <v>-75.083650000000006</v>
      </c>
      <c r="G20" s="27">
        <v>2025</v>
      </c>
    </row>
    <row r="21" spans="1:7" x14ac:dyDescent="0.35">
      <c r="A21" s="3" t="s">
        <v>35</v>
      </c>
      <c r="B21" s="4" t="s">
        <v>36</v>
      </c>
      <c r="C21" s="3" t="s">
        <v>37</v>
      </c>
      <c r="D21" s="3" t="s">
        <v>96</v>
      </c>
      <c r="E21" s="25">
        <v>41.018949999999997</v>
      </c>
      <c r="F21" s="24">
        <v>-74.888869999999997</v>
      </c>
      <c r="G21" s="27">
        <v>2025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Habitat_2024</vt:lpstr>
      <vt:lpstr>Habitat_2025</vt:lpstr>
      <vt:lpstr>macro_2024</vt:lpstr>
      <vt:lpstr>macro_2025</vt:lpstr>
      <vt:lpstr>Locations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Kiera Malone</dc:creator>
  <cp:keywords/>
  <dc:description/>
  <cp:lastModifiedBy>Chloe Pearson</cp:lastModifiedBy>
  <cp:revision/>
  <dcterms:created xsi:type="dcterms:W3CDTF">2022-11-15T15:28:50Z</dcterms:created>
  <dcterms:modified xsi:type="dcterms:W3CDTF">2025-11-13T05:17:57Z</dcterms:modified>
  <cp:category/>
  <cp:contentStatus/>
</cp:coreProperties>
</file>